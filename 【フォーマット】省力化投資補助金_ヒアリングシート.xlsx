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80" yWindow="2820" windowWidth="17400" windowHeight="17350" tabRatio="600" firstSheet="1" activeTab="2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ヒアリングシート" sheetId="2" state="visible" r:id="rId2"/>
    <sheet xmlns:r="http://schemas.openxmlformats.org/officeDocument/2006/relationships" name="工数ヒアリング用　省力化計算シート" sheetId="3" state="visible" r:id="rId3"/>
  </sheets>
  <definedNames>
    <definedName name="_xlnm.Print_Titles" localSheetId="1">'ヒアリングシート'!$1:$1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_ "/>
    <numFmt numFmtId="165" formatCode="0.0_ "/>
    <numFmt numFmtId="166" formatCode="0.00_ "/>
  </numFmts>
  <fonts count="41">
    <font>
      <name val="ＭＳ Ｐゴシック"/>
      <family val="2"/>
      <color theme="1"/>
      <sz val="11"/>
      <scheme val="minor"/>
    </font>
    <font>
      <name val="游ゴシック"/>
      <charset val="128"/>
      <family val="3"/>
      <b val="1"/>
      <color rgb="FFFFFFFF"/>
      <sz val="20"/>
    </font>
    <font>
      <name val="游ゴシック"/>
      <charset val="128"/>
      <family val="3"/>
      <sz val="14"/>
    </font>
    <font>
      <name val="游ゴシック"/>
      <charset val="128"/>
      <family val="3"/>
      <sz val="10"/>
    </font>
    <font>
      <name val="游ゴシック"/>
      <charset val="128"/>
      <family val="3"/>
      <b val="1"/>
      <color rgb="FFFFFFFF"/>
      <sz val="16"/>
    </font>
    <font>
      <name val="游ゴシック"/>
      <charset val="128"/>
      <family val="3"/>
      <sz val="11"/>
    </font>
    <font>
      <name val="游ゴシック"/>
      <charset val="128"/>
      <family val="3"/>
      <b val="1"/>
      <color rgb="FFFFFFFF"/>
      <sz val="10"/>
    </font>
    <font>
      <name val="游ゴシック"/>
      <charset val="128"/>
      <family val="3"/>
      <b val="1"/>
      <sz val="9"/>
    </font>
    <font>
      <name val="游ゴシック"/>
      <charset val="128"/>
      <family val="3"/>
      <sz val="8.5"/>
    </font>
    <font>
      <name val="游ゴシック"/>
      <charset val="128"/>
      <family val="3"/>
      <sz val="9"/>
    </font>
    <font>
      <name val="BIZ UDゴシック"/>
      <charset val="128"/>
      <family val="3"/>
      <color rgb="FF0070C0"/>
      <sz val="8"/>
    </font>
    <font>
      <name val="游ゴシック"/>
      <charset val="128"/>
      <family val="3"/>
      <color rgb="FF666666"/>
      <sz val="8"/>
    </font>
    <font>
      <name val="ＭＳ Ｐゴシック"/>
      <charset val="128"/>
      <family val="3"/>
      <sz val="6"/>
      <scheme val="minor"/>
    </font>
    <font>
      <name val="ＭＳ Ｐゴシック"/>
      <charset val="128"/>
      <family val="3"/>
      <b val="1"/>
      <color theme="0"/>
      <sz val="11"/>
      <scheme val="minor"/>
    </font>
    <font>
      <name val="ＭＳ Ｐゴシック"/>
      <charset val="128"/>
      <family val="3"/>
      <b val="1"/>
      <color theme="1"/>
      <sz val="10"/>
      <scheme val="minor"/>
    </font>
    <font>
      <name val="ＭＳ Ｐゴシック"/>
      <charset val="128"/>
      <family val="3"/>
      <b val="1"/>
      <color theme="1"/>
      <sz val="11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3"/>
      <b val="1"/>
      <sz val="11"/>
      <scheme val="minor"/>
    </font>
    <font>
      <name val="ＭＳ Ｐゴシック"/>
      <charset val="128"/>
      <family val="3"/>
      <b val="1"/>
      <color rgb="FFC00000"/>
      <sz val="11"/>
      <scheme val="minor"/>
    </font>
    <font>
      <name val="ＭＳ Ｐゴシック"/>
      <charset val="128"/>
      <family val="2"/>
      <color theme="1"/>
      <sz val="10"/>
      <scheme val="minor"/>
    </font>
    <font>
      <name val="ＭＳ Ｐゴシック"/>
      <charset val="128"/>
      <family val="3"/>
      <color theme="1"/>
      <sz val="9"/>
      <scheme val="minor"/>
    </font>
    <font>
      <name val="ＭＳ Ｐゴシック"/>
      <charset val="128"/>
      <family val="3"/>
      <b val="1"/>
      <color theme="1"/>
      <sz val="9"/>
      <scheme val="minor"/>
    </font>
    <font>
      <name val="ＭＳ Ｐゴシック"/>
      <charset val="128"/>
      <family val="3"/>
      <color theme="1"/>
      <sz val="11"/>
      <scheme val="minor"/>
    </font>
    <font>
      <name val="ＭＳ Ｐゴシック"/>
      <charset val="128"/>
      <family val="3"/>
      <sz val="9"/>
      <scheme val="minor"/>
    </font>
    <font>
      <name val="ＭＳ Ｐゴシック"/>
      <charset val="128"/>
      <family val="2"/>
      <color theme="1"/>
      <sz val="9"/>
      <scheme val="minor"/>
    </font>
    <font>
      <name val="ＭＳ Ｐゴシック"/>
      <charset val="128"/>
      <family val="3"/>
      <b val="1"/>
      <color rgb="FFC00000"/>
      <sz val="9"/>
      <scheme val="minor"/>
    </font>
    <font>
      <name val="ＭＳ Ｐゴシック"/>
      <charset val="128"/>
      <family val="3"/>
      <color rgb="FFC00000"/>
      <sz val="9"/>
      <scheme val="minor"/>
    </font>
    <font>
      <name val="ＭＳ Ｐゴシック"/>
      <charset val="128"/>
      <family val="3"/>
      <color theme="1"/>
      <sz val="10"/>
      <scheme val="minor"/>
    </font>
    <font>
      <name val="ＭＳ Ｐゴシック"/>
      <charset val="128"/>
      <family val="3"/>
      <sz val="10"/>
      <scheme val="minor"/>
    </font>
    <font>
      <name val="ＭＳ Ｐゴシック"/>
      <charset val="128"/>
      <family val="3"/>
      <b val="1"/>
      <sz val="9"/>
      <scheme val="minor"/>
    </font>
    <font>
      <name val="ＭＳ Ｐゴシック"/>
      <charset val="128"/>
      <family val="2"/>
      <sz val="11"/>
      <scheme val="minor"/>
    </font>
    <font>
      <name val="ＭＳ Ｐゴシック"/>
      <charset val="128"/>
      <family val="3"/>
      <sz val="11"/>
      <scheme val="minor"/>
    </font>
    <font>
      <name val="ＭＳ Ｐゴシック"/>
      <charset val="128"/>
      <family val="3"/>
      <color rgb="FFC00000"/>
      <sz val="11"/>
      <scheme val="minor"/>
    </font>
    <font>
      <name val="游ゴシック"/>
      <charset val="128"/>
      <family val="3"/>
      <sz val="9"/>
    </font>
    <font>
      <name val="游ゴシック"/>
      <charset val="128"/>
      <family val="3"/>
      <b val="1"/>
      <sz val="8"/>
    </font>
    <font>
      <name val="游ゴシック"/>
      <charset val="128"/>
      <family val="3"/>
      <sz val="8"/>
    </font>
    <font>
      <name val="游ゴシック"/>
      <charset val="128"/>
      <family val="3"/>
      <b val="1"/>
      <sz val="14"/>
    </font>
    <font>
      <name val="游ゴシック"/>
      <charset val="128"/>
      <family val="3"/>
      <color rgb="FF666666"/>
      <sz val="9"/>
    </font>
    <font>
      <name val="游ゴシック"/>
      <charset val="128"/>
      <family val="3"/>
      <b val="1"/>
      <color rgb="FFFFFFFF"/>
      <sz val="12"/>
    </font>
    <font>
      <name val="游ゴシック"/>
      <charset val="128"/>
      <family val="3"/>
      <b val="1"/>
      <color rgb="FFFFFFFF"/>
      <sz val="9"/>
    </font>
    <font>
      <name val="游ゴシック"/>
      <charset val="128"/>
      <family val="3"/>
      <b val="1"/>
      <sz val="9"/>
    </font>
  </fonts>
  <fills count="24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1565C0"/>
      </patternFill>
    </fill>
    <fill>
      <patternFill patternType="solid">
        <fgColor rgb="FFC62828"/>
      </patternFill>
    </fill>
    <fill>
      <patternFill patternType="solid">
        <fgColor rgb="FF2E5E8E"/>
      </patternFill>
    </fill>
    <fill>
      <patternFill patternType="solid">
        <fgColor rgb="FFFFFFFF"/>
      </patternFill>
    </fill>
    <fill>
      <patternFill patternType="solid">
        <fgColor rgb="FFE8EDF3"/>
      </patternFill>
    </fill>
    <fill>
      <patternFill patternType="solid">
        <fgColor rgb="FFFFF8E1"/>
      </patternFill>
    </fill>
    <fill>
      <patternFill patternType="solid">
        <fgColor rgb="FFFFF5E6"/>
      </patternFill>
    </fill>
    <fill>
      <patternFill patternType="solid">
        <fgColor rgb="FFFCE4EC"/>
      </patternFill>
    </fill>
    <fill>
      <patternFill patternType="solid">
        <fgColor rgb="FFF5F5F5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AF5"/>
        <bgColor indexed="64"/>
      </patternFill>
    </fill>
    <fill>
      <patternFill patternType="solid">
        <fgColor rgb="FFF2F2F2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theme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hair">
        <color theme="1"/>
      </right>
      <top style="medium">
        <color theme="1"/>
      </top>
      <bottom style="thin">
        <color indexed="64"/>
      </bottom>
      <diagonal/>
    </border>
    <border>
      <left style="hair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theme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hair">
        <color theme="1"/>
      </right>
      <top style="thin">
        <color indexed="64"/>
      </top>
      <bottom style="medium">
        <color theme="1"/>
      </bottom>
      <diagonal/>
    </border>
    <border>
      <left style="hair">
        <color theme="1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 style="hair">
        <color indexed="64"/>
      </right>
      <top style="thin">
        <color indexed="64"/>
      </top>
      <bottom style="medium">
        <color theme="1"/>
      </bottom>
      <diagonal/>
    </border>
    <border>
      <left style="hair">
        <color indexed="64"/>
      </left>
      <right/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hair">
        <color theme="1"/>
      </right>
      <top style="thin">
        <color indexed="64"/>
      </top>
      <bottom style="medium">
        <color indexed="64"/>
      </bottom>
      <diagonal/>
    </border>
    <border>
      <left style="hair">
        <color theme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  <xf numFmtId="0" fontId="10" fillId="10" borderId="1" applyAlignment="1" pivotButton="0" quotePrefix="0" xfId="0">
      <alignment vertical="top" wrapText="1"/>
    </xf>
    <xf numFmtId="0" fontId="11" fillId="8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vertical="top" wrapText="1"/>
    </xf>
    <xf numFmtId="0" fontId="9" fillId="13" borderId="1" applyAlignment="1" pivotButton="0" quotePrefix="0" xfId="0">
      <alignment vertical="top" wrapText="1"/>
    </xf>
    <xf numFmtId="0" fontId="11" fillId="13" borderId="1" applyAlignment="1" pivotButton="0" quotePrefix="0" xfId="0">
      <alignment horizontal="center" vertical="center" wrapText="1"/>
    </xf>
    <xf numFmtId="0" fontId="0" fillId="14" borderId="0" applyAlignment="1" pivotButton="0" quotePrefix="0" xfId="0">
      <alignment vertical="center"/>
    </xf>
    <xf numFmtId="0" fontId="13" fillId="14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165" fontId="14" fillId="0" borderId="0" applyAlignment="1" pivotButton="0" quotePrefix="0" xfId="0">
      <alignment horizontal="right" vertical="center" wrapText="1"/>
    </xf>
    <xf numFmtId="165" fontId="15" fillId="15" borderId="4" applyAlignment="1" pivotButton="0" quotePrefix="0" xfId="0">
      <alignment vertical="center"/>
    </xf>
    <xf numFmtId="165" fontId="15" fillId="0" borderId="0" applyAlignment="1" pivotButton="0" quotePrefix="0" xfId="0">
      <alignment vertical="center"/>
    </xf>
    <xf numFmtId="165" fontId="15" fillId="16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/>
    </xf>
    <xf numFmtId="166" fontId="16" fillId="17" borderId="5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7" fillId="18" borderId="0" applyAlignment="1" pivotButton="0" quotePrefix="0" xfId="0">
      <alignment vertical="center"/>
    </xf>
    <xf numFmtId="0" fontId="0" fillId="18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5" fillId="19" borderId="0" applyAlignment="1" pivotButton="0" quotePrefix="0" xfId="0">
      <alignment vertical="center"/>
    </xf>
    <xf numFmtId="0" fontId="0" fillId="19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right" vertical="center"/>
    </xf>
    <xf numFmtId="165" fontId="22" fillId="0" borderId="1" applyAlignment="1" pivotButton="0" quotePrefix="0" xfId="0">
      <alignment vertical="center"/>
    </xf>
    <xf numFmtId="166" fontId="22" fillId="0" borderId="0" applyAlignment="1" pivotButton="0" quotePrefix="0" xfId="0">
      <alignment vertical="center"/>
    </xf>
    <xf numFmtId="0" fontId="24" fillId="0" borderId="0" applyAlignment="1" pivotButton="0" quotePrefix="0" xfId="0">
      <alignment horizontal="right" vertical="center"/>
    </xf>
    <xf numFmtId="165" fontId="22" fillId="0" borderId="0" applyAlignment="1" pivotButton="0" quotePrefix="0" xfId="0">
      <alignment vertical="center"/>
    </xf>
    <xf numFmtId="0" fontId="2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5" fillId="0" borderId="6" applyAlignment="1" pivotButton="0" quotePrefix="0" xfId="0">
      <alignment vertical="top"/>
    </xf>
    <xf numFmtId="0" fontId="26" fillId="0" borderId="6" applyAlignment="1" pivotButton="0" quotePrefix="0" xfId="0">
      <alignment vertical="top"/>
    </xf>
    <xf numFmtId="0" fontId="14" fillId="18" borderId="1" applyAlignment="1" pivotButton="0" quotePrefix="0" xfId="0">
      <alignment vertical="center"/>
    </xf>
    <xf numFmtId="0" fontId="14" fillId="18" borderId="7" applyAlignment="1" pivotButton="0" quotePrefix="0" xfId="0">
      <alignment vertical="center"/>
    </xf>
    <xf numFmtId="0" fontId="14" fillId="18" borderId="8" applyAlignment="1" pivotButton="0" quotePrefix="0" xfId="0">
      <alignment vertical="center"/>
    </xf>
    <xf numFmtId="0" fontId="27" fillId="20" borderId="0" applyAlignment="1" pivotButton="0" quotePrefix="0" xfId="0">
      <alignment vertical="center" wrapText="1"/>
    </xf>
    <xf numFmtId="0" fontId="28" fillId="20" borderId="0" applyAlignment="1" pivotButton="0" quotePrefix="0" xfId="0">
      <alignment vertical="center" wrapText="1"/>
    </xf>
    <xf numFmtId="0" fontId="14" fillId="19" borderId="1" applyAlignment="1" pivotButton="0" quotePrefix="0" xfId="0">
      <alignment vertical="center"/>
    </xf>
    <xf numFmtId="0" fontId="14" fillId="19" borderId="9" applyAlignment="1" pivotButton="0" quotePrefix="0" xfId="0">
      <alignment vertical="center"/>
    </xf>
    <xf numFmtId="0" fontId="14" fillId="19" borderId="10" applyAlignment="1" pivotButton="0" quotePrefix="0" xfId="0">
      <alignment vertical="center"/>
    </xf>
    <xf numFmtId="0" fontId="14" fillId="19" borderId="11" applyAlignment="1" pivotButton="0" quotePrefix="0" xfId="0">
      <alignment horizontal="center" vertical="center"/>
    </xf>
    <xf numFmtId="0" fontId="29" fillId="18" borderId="12" applyAlignment="1" pivotButton="0" quotePrefix="0" xfId="0">
      <alignment vertical="center" wrapText="1"/>
    </xf>
    <xf numFmtId="0" fontId="19" fillId="20" borderId="0" applyAlignment="1" pivotButton="0" quotePrefix="0" xfId="0">
      <alignment vertical="center"/>
    </xf>
    <xf numFmtId="0" fontId="22" fillId="21" borderId="13" applyAlignment="1" pivotButton="0" quotePrefix="0" xfId="0">
      <alignment vertical="center"/>
    </xf>
    <xf numFmtId="0" fontId="22" fillId="22" borderId="14" applyAlignment="1" applyProtection="1" pivotButton="0" quotePrefix="0" xfId="0">
      <alignment vertical="center" shrinkToFit="1"/>
      <protection locked="0" hidden="0"/>
    </xf>
    <xf numFmtId="0" fontId="22" fillId="22" borderId="15" applyAlignment="1" applyProtection="1" pivotButton="0" quotePrefix="0" xfId="0">
      <alignment vertical="center"/>
      <protection locked="0" hidden="0"/>
    </xf>
    <xf numFmtId="0" fontId="22" fillId="20" borderId="0" applyAlignment="1" pivotButton="0" quotePrefix="0" xfId="0">
      <alignment horizontal="right" vertical="center"/>
    </xf>
    <xf numFmtId="0" fontId="27" fillId="20" borderId="0" applyAlignment="1" pivotButton="0" quotePrefix="0" xfId="0">
      <alignment horizontal="right" vertical="center"/>
    </xf>
    <xf numFmtId="0" fontId="30" fillId="0" borderId="0" applyAlignment="1" pivotButton="0" quotePrefix="0" xfId="0">
      <alignment vertical="center"/>
    </xf>
    <xf numFmtId="0" fontId="0" fillId="21" borderId="16" applyAlignment="1" pivotButton="0" quotePrefix="0" xfId="0">
      <alignment vertical="center"/>
    </xf>
    <xf numFmtId="0" fontId="0" fillId="22" borderId="17" applyAlignment="1" applyProtection="1" pivotButton="0" quotePrefix="0" xfId="0">
      <alignment vertical="center" shrinkToFit="1"/>
      <protection locked="0" hidden="0"/>
    </xf>
    <xf numFmtId="0" fontId="0" fillId="22" borderId="18" applyAlignment="1" applyProtection="1" pivotButton="0" quotePrefix="0" xfId="0">
      <alignment horizontal="right" vertical="center"/>
      <protection locked="0" hidden="0"/>
    </xf>
    <xf numFmtId="0" fontId="20" fillId="22" borderId="19" applyAlignment="1" applyProtection="1" pivotButton="0" quotePrefix="0" xfId="0">
      <alignment horizontal="center" vertical="center"/>
      <protection locked="0" hidden="0"/>
    </xf>
    <xf numFmtId="0" fontId="0" fillId="20" borderId="20" applyAlignment="1" applyProtection="1" pivotButton="0" quotePrefix="0" xfId="0">
      <alignment vertical="center"/>
      <protection locked="0" hidden="0"/>
    </xf>
    <xf numFmtId="0" fontId="0" fillId="20" borderId="0" applyAlignment="1" pivotButton="0" quotePrefix="0" xfId="0">
      <alignment horizontal="right" vertical="center"/>
    </xf>
    <xf numFmtId="0" fontId="27" fillId="20" borderId="1" applyAlignment="1" pivotButton="0" quotePrefix="0" xfId="0">
      <alignment vertical="center"/>
    </xf>
    <xf numFmtId="0" fontId="22" fillId="0" borderId="13" applyAlignment="1" pivotButton="0" quotePrefix="0" xfId="0">
      <alignment vertical="center"/>
    </xf>
    <xf numFmtId="0" fontId="22" fillId="22" borderId="21" applyAlignment="1" applyProtection="1" pivotButton="0" quotePrefix="0" xfId="0">
      <alignment vertical="center" shrinkToFit="1"/>
      <protection locked="0" hidden="0"/>
    </xf>
    <xf numFmtId="0" fontId="22" fillId="22" borderId="22" applyAlignment="1" applyProtection="1" pivotButton="0" quotePrefix="0" xfId="0">
      <alignment horizontal="right" vertical="center"/>
      <protection locked="0" hidden="0"/>
    </xf>
    <xf numFmtId="0" fontId="31" fillId="21" borderId="13" applyAlignment="1" pivotButton="0" quotePrefix="0" xfId="0">
      <alignment vertical="center"/>
    </xf>
    <xf numFmtId="0" fontId="31" fillId="22" borderId="23" applyAlignment="1" applyProtection="1" pivotButton="0" quotePrefix="0" xfId="0">
      <alignment vertical="center" shrinkToFit="1"/>
      <protection locked="0" hidden="0"/>
    </xf>
    <xf numFmtId="0" fontId="31" fillId="22" borderId="24" applyAlignment="1" applyProtection="1" pivotButton="0" quotePrefix="0" xfId="0">
      <alignment horizontal="right" vertical="center"/>
      <protection locked="0" hidden="0"/>
    </xf>
    <xf numFmtId="0" fontId="23" fillId="22" borderId="25" applyAlignment="1" applyProtection="1" pivotButton="0" quotePrefix="0" xfId="0">
      <alignment horizontal="center" vertical="center"/>
      <protection locked="0" hidden="0"/>
    </xf>
    <xf numFmtId="0" fontId="22" fillId="20" borderId="26" applyAlignment="1" applyProtection="1" pivotButton="0" quotePrefix="0" xfId="0">
      <alignment vertical="center"/>
      <protection locked="0" hidden="0"/>
    </xf>
    <xf numFmtId="0" fontId="0" fillId="21" borderId="13" applyAlignment="1" pivotButton="0" quotePrefix="0" xfId="0">
      <alignment vertical="center"/>
    </xf>
    <xf numFmtId="0" fontId="0" fillId="22" borderId="23" applyAlignment="1" applyProtection="1" pivotButton="0" quotePrefix="0" xfId="0">
      <alignment vertical="center" shrinkToFit="1"/>
      <protection locked="0" hidden="0"/>
    </xf>
    <xf numFmtId="0" fontId="0" fillId="22" borderId="24" applyAlignment="1" applyProtection="1" pivotButton="0" quotePrefix="0" xfId="0">
      <alignment horizontal="right" vertical="center"/>
      <protection locked="0" hidden="0"/>
    </xf>
    <xf numFmtId="0" fontId="20" fillId="22" borderId="25" applyAlignment="1" applyProtection="1" pivotButton="0" quotePrefix="0" xfId="0">
      <alignment horizontal="center" vertical="center"/>
      <protection locked="0" hidden="0"/>
    </xf>
    <xf numFmtId="0" fontId="22" fillId="20" borderId="26" applyAlignment="1" applyProtection="1" pivotButton="0" quotePrefix="0" xfId="0">
      <alignment horizontal="right" vertical="center"/>
      <protection locked="0" hidden="0"/>
    </xf>
    <xf numFmtId="0" fontId="31" fillId="22" borderId="21" applyAlignment="1" applyProtection="1" pivotButton="0" quotePrefix="0" xfId="0">
      <alignment vertical="center" shrinkToFit="1"/>
      <protection locked="0" hidden="0"/>
    </xf>
    <xf numFmtId="0" fontId="31" fillId="22" borderId="22" applyAlignment="1" applyProtection="1" pivotButton="0" quotePrefix="0" xfId="0">
      <alignment horizontal="right" vertical="center"/>
      <protection locked="0" hidden="0"/>
    </xf>
    <xf numFmtId="0" fontId="0" fillId="22" borderId="21" applyAlignment="1" applyProtection="1" pivotButton="0" quotePrefix="0" xfId="0">
      <alignment vertical="center" shrinkToFit="1"/>
      <protection locked="0" hidden="0"/>
    </xf>
    <xf numFmtId="0" fontId="0" fillId="22" borderId="22" applyAlignment="1" applyProtection="1" pivotButton="0" quotePrefix="0" xfId="0">
      <alignment horizontal="right" vertical="center"/>
      <protection locked="0" hidden="0"/>
    </xf>
    <xf numFmtId="0" fontId="0" fillId="22" borderId="27" applyAlignment="1" applyProtection="1" pivotButton="0" quotePrefix="0" xfId="0">
      <alignment vertical="center" shrinkToFit="1"/>
      <protection locked="0" hidden="0"/>
    </xf>
    <xf numFmtId="0" fontId="0" fillId="22" borderId="28" applyAlignment="1" applyProtection="1" pivotButton="0" quotePrefix="0" xfId="0">
      <alignment horizontal="right" vertical="center"/>
      <protection locked="0" hidden="0"/>
    </xf>
    <xf numFmtId="0" fontId="0" fillId="22" borderId="29" applyAlignment="1" applyProtection="1" pivotButton="0" quotePrefix="0" xfId="0">
      <alignment vertical="center" shrinkToFit="1"/>
      <protection locked="0" hidden="0"/>
    </xf>
    <xf numFmtId="0" fontId="0" fillId="22" borderId="30" applyAlignment="1" applyProtection="1" pivotButton="0" quotePrefix="0" xfId="0">
      <alignment horizontal="right" vertical="center"/>
      <protection locked="0" hidden="0"/>
    </xf>
    <xf numFmtId="0" fontId="20" fillId="22" borderId="31" applyAlignment="1" applyProtection="1" pivotButton="0" quotePrefix="0" xfId="0">
      <alignment horizontal="center" vertical="center"/>
      <protection locked="0" hidden="0"/>
    </xf>
    <xf numFmtId="0" fontId="22" fillId="20" borderId="32" applyAlignment="1" applyProtection="1" pivotButton="0" quotePrefix="0" xfId="0">
      <alignment vertical="center"/>
      <protection locked="0" hidden="0"/>
    </xf>
    <xf numFmtId="0" fontId="31" fillId="0" borderId="0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0" fontId="33" fillId="11" borderId="1" applyAlignment="1" pivotButton="0" quotePrefix="0" xfId="0">
      <alignment horizontal="left" vertical="top" wrapText="1"/>
    </xf>
    <xf numFmtId="0" fontId="34" fillId="12" borderId="1" applyAlignment="1" pivotButton="0" quotePrefix="0" xfId="0">
      <alignment horizontal="center" vertical="center" wrapText="1"/>
    </xf>
    <xf numFmtId="0" fontId="35" fillId="12" borderId="1" applyAlignment="1" pivotButton="0" quotePrefix="0" xfId="0">
      <alignment horizontal="center" vertical="center" wrapText="1"/>
    </xf>
    <xf numFmtId="0" fontId="36" fillId="0" borderId="0" pivotButton="0" quotePrefix="0" xfId="0"/>
    <xf numFmtId="0" fontId="37" fillId="0" borderId="0" pivotButton="0" quotePrefix="0" xfId="0"/>
    <xf numFmtId="0" fontId="38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9" fillId="7" borderId="33" applyAlignment="1" pivotButton="0" quotePrefix="0" xfId="0">
      <alignment horizontal="center" vertical="center" wrapText="1"/>
    </xf>
    <xf numFmtId="0" fontId="33" fillId="0" borderId="33" applyAlignment="1" pivotButton="0" quotePrefix="0" xfId="0">
      <alignment horizontal="left" vertical="top" wrapText="1"/>
    </xf>
    <xf numFmtId="0" fontId="33" fillId="23" borderId="33" applyAlignment="1" pivotButton="0" quotePrefix="0" xfId="0">
      <alignment horizontal="left" vertical="top" wrapText="1"/>
    </xf>
    <xf numFmtId="0" fontId="33" fillId="12" borderId="33" applyAlignment="1" pivotButton="0" quotePrefix="0" xfId="0">
      <alignment horizontal="left" vertical="top" wrapText="1"/>
    </xf>
    <xf numFmtId="0" fontId="33" fillId="11" borderId="33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3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center"/>
    </xf>
    <xf numFmtId="0" fontId="40" fillId="0" borderId="0" applyAlignment="1" pivotButton="0" quotePrefix="0" xfId="0">
      <alignment horizontal="left" vertical="top" wrapText="1"/>
    </xf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165" fontId="14" fillId="0" borderId="0" applyAlignment="1" pivotButton="0" quotePrefix="0" xfId="0">
      <alignment horizontal="right" vertical="center" wrapText="1"/>
    </xf>
    <xf numFmtId="165" fontId="15" fillId="15" borderId="4" applyAlignment="1" pivotButton="0" quotePrefix="0" xfId="0">
      <alignment vertical="center"/>
    </xf>
    <xf numFmtId="165" fontId="15" fillId="0" borderId="0" applyAlignment="1" pivotButton="0" quotePrefix="0" xfId="0">
      <alignment vertical="center"/>
    </xf>
    <xf numFmtId="165" fontId="15" fillId="16" borderId="4" applyAlignment="1" pivotButton="0" quotePrefix="0" xfId="0">
      <alignment vertical="center"/>
    </xf>
    <xf numFmtId="166" fontId="16" fillId="17" borderId="5" applyAlignment="1" pivotButton="0" quotePrefix="0" xfId="0">
      <alignment vertical="center"/>
    </xf>
    <xf numFmtId="165" fontId="22" fillId="0" borderId="1" applyAlignment="1" pivotButton="0" quotePrefix="0" xfId="0">
      <alignment vertical="center"/>
    </xf>
    <xf numFmtId="166" fontId="22" fillId="0" borderId="0" applyAlignment="1" pivotButton="0" quotePrefix="0" xfId="0">
      <alignment vertical="center"/>
    </xf>
    <xf numFmtId="165" fontId="22" fillId="0" borderId="0" applyAlignment="1" pivotButton="0" quotePrefix="0" xfId="0">
      <alignment vertical="center"/>
    </xf>
  </cellXfs>
  <cellStyles count="1">
    <cellStyle name="標準" xfId="0" builtinId="0"/>
  </cellStyles>
  <dxfs count="10">
    <dxf>
      <fill>
        <patternFill>
          <bgColor rgb="FFFFFAF5"/>
        </patternFill>
      </fill>
    </dxf>
    <dxf>
      <fill>
        <patternFill>
          <bgColor theme="6" tint="0.5999633777886288"/>
        </patternFill>
      </fill>
    </dxf>
    <dxf>
      <font>
        <color rgb="FFC00000"/>
      </font>
    </dxf>
    <dxf>
      <fill>
        <patternFill>
          <bgColor rgb="FFFFFAF5"/>
        </patternFill>
      </fill>
    </dxf>
    <dxf>
      <fill>
        <patternFill>
          <bgColor rgb="FFFFFAF5"/>
        </patternFill>
      </fill>
    </dxf>
    <dxf>
      <fill>
        <patternFill>
          <bgColor theme="4" tint="0.7999816888943144"/>
        </patternFill>
      </fill>
    </dxf>
    <dxf>
      <fill>
        <patternFill>
          <bgColor theme="0"/>
        </patternFill>
      </fill>
    </dxf>
    <dxf>
      <fill>
        <patternFill>
          <bgColor rgb="FFFFFAF5"/>
        </patternFill>
      </fill>
    </dxf>
    <dxf>
      <fill>
        <patternFill>
          <bgColor rgb="FFFFFAF5"/>
        </patternFill>
      </fill>
    </dxf>
    <dxf>
      <fill>
        <patternFill>
          <bgColor theme="6" tint="0.799981688894314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>
    <from>
      <col>25</col>
      <colOff>57363</colOff>
      <row>24</row>
      <rowOff>55082</rowOff>
    </from>
    <to>
      <col>36</col>
      <colOff>455618</colOff>
      <row>65</row>
      <rowOff>101600</rowOff>
    </to>
    <pic>
      <nvPicPr>
        <cNvPr id="4" name="図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6453063" y="4315932"/>
          <a:ext cx="7103855" cy="6821968"/>
        </a:xfrm>
        <a:prstGeom xmlns:a="http://schemas.openxmlformats.org/drawingml/2006/main" prst="rect">
          <avLst/>
        </a:prstGeom>
        <a:solidFill xmlns:a="http://schemas.openxmlformats.org/drawingml/2006/main">
          <a:srgbClr val="FFFFFF"/>
        </a:solidFill>
        <a:ln xmlns:a="http://schemas.openxmlformats.org/drawingml/2006/main" w="88900" cap="sq">
          <a:solidFill>
            <a:srgbClr val="FFFFFF"/>
          </a:solidFill>
          <a:prstDash val="solid"/>
          <a:miter lim="800000"/>
        </a:ln>
        <a:sp3d xmlns:a="http://schemas.openxmlformats.org/drawingml/2006/main"/>
      </spPr>
    </pic>
    <clientData/>
  </twoCellAnchor>
  <twoCellAnchor>
    <from>
      <col>12</col>
      <colOff>148738</colOff>
      <row>23</row>
      <rowOff>129248</rowOff>
    </from>
    <to>
      <col>24</col>
      <colOff>476250</colOff>
      <row>60</row>
      <rowOff>65249</rowOff>
    </to>
    <pic>
      <nvPicPr>
        <cNvPr id="5" name="図 4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r="1004"/>
        <a:stretch xmlns:a="http://schemas.openxmlformats.org/drawingml/2006/main">
          <a:fillRect/>
        </a:stretch>
      </blipFill>
      <spPr>
        <a:xfrm xmlns:a="http://schemas.openxmlformats.org/drawingml/2006/main">
          <a:off x="10219838" y="4224998"/>
          <a:ext cx="6042512" cy="6051051"/>
        </a:xfrm>
        <a:prstGeom xmlns:a="http://schemas.openxmlformats.org/drawingml/2006/main" prst="rect">
          <avLst/>
        </a:prstGeom>
        <a:solidFill xmlns:a="http://schemas.openxmlformats.org/drawingml/2006/main">
          <a:srgbClr val="FFFFFF"/>
        </a:solidFill>
        <a:ln xmlns:a="http://schemas.openxmlformats.org/drawingml/2006/main" w="88900" cap="sq">
          <a:solidFill>
            <a:srgbClr val="FFFFFF"/>
          </a:solidFill>
          <a:prstDash val="solid"/>
          <a:miter lim="800000"/>
        </a:ln>
        <a:sp3d xmlns:a="http://schemas.openxmlformats.org/drawingml/2006/main"/>
      </spPr>
    </pic>
    <clientData/>
  </twoCellAnchor>
  <twoCellAnchor editAs="oneCell">
    <from>
      <col>16</col>
      <colOff>423210</colOff>
      <row>0</row>
      <rowOff>150532</rowOff>
    </from>
    <to>
      <col>24</col>
      <colOff>289231</colOff>
      <row>22</row>
      <rowOff>31749</rowOff>
    </to>
    <pic>
      <nvPicPr>
        <cNvPr id="6" name="図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332510" y="150532"/>
          <a:ext cx="4742821" cy="3811867"/>
        </a:xfrm>
        <a:prstGeom xmlns:a="http://schemas.openxmlformats.org/drawingml/2006/main" prst="rect">
          <avLst/>
        </a:prstGeom>
        <a:solidFill xmlns:a="http://schemas.openxmlformats.org/drawingml/2006/main">
          <a:srgbClr val="FFFFFF"/>
        </a:solidFill>
        <a:ln xmlns:a="http://schemas.openxmlformats.org/drawingml/2006/main" w="88900" cap="sq">
          <a:solidFill>
            <a:srgbClr val="FFFFFF"/>
          </a:solidFill>
          <a:prstDash val="solid"/>
          <a:miter lim="800000"/>
        </a:ln>
        <a:sp3d xmlns:a="http://schemas.openxmlformats.org/drawingml/2006/main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3"/>
  <sheetViews>
    <sheetView workbookViewId="0">
      <selection activeCell="A1" sqref="A1"/>
    </sheetView>
  </sheetViews>
  <sheetFormatPr baseColWidth="8" defaultRowHeight="13"/>
  <cols>
    <col width="40" customWidth="1" min="1" max="1"/>
    <col width="80" customWidth="1" min="2" max="2"/>
  </cols>
  <sheetData>
    <row r="1" ht="42" customHeight="1">
      <c r="A1" s="1" t="inlineStr">
        <is>
          <t>ヒアリングシートの使い方</t>
        </is>
      </c>
      <c r="B1" s="2" t="n"/>
    </row>
    <row r="2" ht="27.95" customHeight="1">
      <c r="A2" s="3" t="n"/>
      <c r="B2" s="4" t="n"/>
    </row>
    <row r="3" ht="36" customHeight="1">
      <c r="A3" s="5" t="inlineStr">
        <is>
          <t>【このシートの役割】</t>
        </is>
      </c>
      <c r="B3" s="6" t="n"/>
    </row>
    <row r="4" ht="27.95" customHeight="1">
      <c r="A4" s="7" t="n"/>
      <c r="B4" s="4" t="inlineStr">
        <is>
          <t>ヒアリング（聞き取り）で得た情報を、事業計画書の各セクションに対応する形で整理するためのシートです。</t>
        </is>
      </c>
    </row>
    <row r="5" ht="27.95" customHeight="1">
      <c r="A5" s="7" t="n"/>
      <c r="B5" s="4" t="inlineStr">
        <is>
          <t>文字起こしした内容をそのまま作成シートに流すのではなく、このシートで一度整理することで品質が上がります。</t>
        </is>
      </c>
    </row>
    <row r="6" ht="27.95" customHeight="1">
      <c r="A6" s="3" t="n"/>
      <c r="B6" s="4" t="n"/>
    </row>
    <row r="7" ht="36" customHeight="1">
      <c r="A7" s="8" t="inlineStr">
        <is>
          <t>【使い方の流れ】</t>
        </is>
      </c>
      <c r="B7" s="9" t="n"/>
    </row>
    <row r="8" ht="27.95" customHeight="1">
      <c r="A8" s="7" t="n"/>
      <c r="B8" s="4" t="inlineStr">
        <is>
          <t>Step 1：ヒアリング前に質問内容（D列）を確認し、聞き漏らしがないよう準備する</t>
        </is>
      </c>
    </row>
    <row r="9" ht="27.95" customHeight="1">
      <c r="A9" s="7" t="n"/>
      <c r="B9" s="4" t="inlineStr">
        <is>
          <t>Step 2：ヒアリング中または直後に、回答をF列に記入する（箇条書きでOK、体裁は気にしない）</t>
        </is>
      </c>
    </row>
    <row r="10" ht="27.95" customHeight="1">
      <c r="A10" s="7" t="n"/>
      <c r="B10" s="4" t="inlineStr">
        <is>
          <t>Step 3：E列の「確認ポイント」を見て、聞き漏らしがないか点検する</t>
        </is>
      </c>
    </row>
    <row r="11" ht="27.95" customHeight="1">
      <c r="A11" s="7" t="n"/>
      <c r="B11" s="4" t="inlineStr">
        <is>
          <t>Step 4：H列のステータスが「未記入」の項目について、追加ヒアリングが必要か判断する</t>
        </is>
      </c>
    </row>
    <row r="12" ht="27.95" customHeight="1">
      <c r="A12" s="7" t="n"/>
      <c r="B12" s="4" t="inlineStr">
        <is>
          <t>Step 5：全項目が埋まったら、F列の回答を作成シートのG列に振り分ける</t>
        </is>
      </c>
    </row>
    <row r="13" ht="27.95" customHeight="1">
      <c r="A13" s="3" t="n"/>
      <c r="B13" s="4" t="n"/>
    </row>
    <row r="14" ht="36" customHeight="1">
      <c r="A14" s="10" t="inlineStr">
        <is>
          <t>【作成シートとの連携】</t>
        </is>
      </c>
      <c r="B14" s="11" t="n"/>
    </row>
    <row r="15" ht="27.95" customHeight="1">
      <c r="A15" s="7" t="n"/>
      <c r="B15" s="4" t="inlineStr">
        <is>
          <t>G列に「対応する作成シート行」が記載されています。振り分け時にこの番号を参照してください。</t>
        </is>
      </c>
    </row>
    <row r="16" ht="27.95" customHeight="1">
      <c r="A16" s="7" t="n"/>
      <c r="B16" s="4" t="inlineStr">
        <is>
          <t>1つの回答が複数の作成シート行に関係する場合があります。その場合は関係する全ての行にコピーしてください。</t>
        </is>
      </c>
    </row>
    <row r="17" ht="27.95" customHeight="1">
      <c r="A17" s="3" t="n"/>
      <c r="B17" s="4" t="n"/>
    </row>
    <row r="18" ht="36" customHeight="1">
      <c r="A18" s="12" t="inlineStr">
        <is>
          <t>【ヒアリングのコツ】</t>
        </is>
      </c>
      <c r="B18" s="13" t="n"/>
    </row>
    <row r="19" ht="27.95" customHeight="1">
      <c r="A19" s="7" t="n"/>
      <c r="B19" s="4" t="inlineStr">
        <is>
          <t>・数値を必ず聞く（「何人で」「何分かかる」「何件くらい」「いくらかかる」）</t>
        </is>
      </c>
    </row>
    <row r="20" ht="27.95" customHeight="1">
      <c r="A20" s="7" t="n"/>
      <c r="B20" s="4" t="inlineStr">
        <is>
          <t>・具体的なエピソードを聞く（「最近こんなことがあった」「去年は○○だった」）</t>
        </is>
      </c>
    </row>
    <row r="21" ht="27.95" customHeight="1">
      <c r="A21" s="7" t="n"/>
      <c r="B21" s="4" t="inlineStr">
        <is>
          <t>・比較を聞く（「以前と比べて」「競合と比べて」「導入前と導入後で」）</t>
        </is>
      </c>
    </row>
    <row r="22" ht="27.95" customHeight="1">
      <c r="A22" s="7" t="n"/>
      <c r="B22" s="4" t="inlineStr">
        <is>
          <t>・理由・背景を聞く（「なぜそうなった」「きっかけは」「いつ頃から」）</t>
        </is>
      </c>
    </row>
    <row r="23" ht="33" customHeight="1">
      <c r="B23" s="4" t="inlineStr">
        <is>
          <t>・物理的な根拠を聞く（「重くて2人がかり」「機械の容量が300Lまで」「1本ずつ目視」など、ボトルネックの理由）</t>
        </is>
      </c>
    </row>
  </sheetData>
  <pageMargins left="0.75" right="0.75" top="1" bottom="1" header="0.5" footer="0.5"/>
  <pageSetup orientation="landscape" paperSize="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72"/>
  <sheetViews>
    <sheetView workbookViewId="0">
      <pane xSplit="3" ySplit="1" topLeftCell="D21" activePane="bottomRight" state="frozen"/>
      <selection pane="topRight" activeCell="A1" sqref="A1"/>
      <selection pane="bottomLeft" activeCell="A1" sqref="A1"/>
      <selection pane="bottomRight" activeCell="E31" sqref="E31"/>
    </sheetView>
  </sheetViews>
  <sheetFormatPr baseColWidth="8" defaultRowHeight="13"/>
  <cols>
    <col width="6" customWidth="1" min="1" max="1"/>
    <col width="18" customWidth="1" min="2" max="2"/>
    <col width="22" customWidth="1" min="3" max="3"/>
    <col width="42" customWidth="1" min="4" max="4"/>
    <col width="38" customWidth="1" min="5" max="5"/>
    <col width="50" customWidth="1" min="6" max="6"/>
    <col width="12" customWidth="1" min="7" max="7"/>
    <col width="10" customWidth="1" min="8" max="8"/>
  </cols>
  <sheetData>
    <row r="1" ht="39.95" customHeight="1">
      <c r="A1" s="14" t="inlineStr">
        <is>
          <t>No.</t>
        </is>
      </c>
      <c r="B1" s="14" t="inlineStr">
        <is>
          <t>対応セクション</t>
        </is>
      </c>
      <c r="C1" s="14" t="inlineStr">
        <is>
          <t>ヒアリング項目</t>
        </is>
      </c>
      <c r="D1" s="14" t="inlineStr">
        <is>
          <t>質問内容
（このまま聞いてOK）</t>
        </is>
      </c>
      <c r="E1" s="14" t="inlineStr">
        <is>
          <t>確認ポイント
（聞き漏らし防止）</t>
        </is>
      </c>
      <c r="F1" s="14" t="inlineStr">
        <is>
          <t>回答記入欄
（箇条書きでOK）</t>
        </is>
      </c>
      <c r="G1" s="14" t="inlineStr">
        <is>
          <t>作成シート
対応行</t>
        </is>
      </c>
      <c r="H1" s="14" t="inlineStr">
        <is>
          <t>ステータス</t>
        </is>
      </c>
    </row>
    <row r="2" ht="16.5" customHeight="1">
      <c r="A2" s="117" t="n"/>
      <c r="B2" s="117" t="inlineStr">
        <is>
          <t>基本情報・事業者情報</t>
        </is>
      </c>
      <c r="C2" s="118" t="n"/>
      <c r="D2" s="118" t="n"/>
      <c r="E2" s="118" t="n"/>
      <c r="F2" s="119" t="n"/>
      <c r="G2" s="117" t="n"/>
      <c r="H2" s="117" t="n"/>
    </row>
    <row r="3" ht="195" customHeight="1">
      <c r="A3" s="16" t="n">
        <v>1</v>
      </c>
      <c r="B3" s="17" t="inlineStr">
        <is>
          <t>（1）事業者情報</t>
        </is>
      </c>
      <c r="C3" s="18" t="inlineStr">
        <is>
          <t>会社基本情報</t>
        </is>
      </c>
      <c r="D3" s="19" t="inlineStr">
        <is>
          <t>会社名・代表者名・所在地・業種・設立年・資本金・従業員数を教えてください。</t>
        </is>
      </c>
      <c r="E3" s="20" t="inlineStr">
        <is>
          <t>□ 正式名称（登記上）
□ 代表者のフルネーム
□ 本社所在地
□ 設立年月
□ 資本金額
□ 従業員数（常勤/パート別。常勤の定義：日々雇用・2ヶ月以内・季節4ヶ月以内・試用期間中を除く）
□ 業種（日本標準産業分類・中分類。申請システムのプルダウンと一致させる）
□ 中小企業基本法の要件に該当するか
□ 歯科医業を営む医療法人の場合：都道府県知事認可・従業員300人以下なら対象（開設許可証＋開設届の提出）</t>
        </is>
      </c>
      <c r="F3" s="105" t="n"/>
      <c r="G3" s="21" t="inlineStr">
        <is>
          <t>行2</t>
        </is>
      </c>
      <c r="H3" s="106" t="inlineStr">
        <is>
          <t>未記入</t>
        </is>
      </c>
    </row>
    <row r="4" ht="154.5" customHeight="1">
      <c r="A4" s="16" t="n">
        <v>2</v>
      </c>
      <c r="B4" s="17" t="inlineStr">
        <is>
          <t>（1）事業者情報</t>
        </is>
      </c>
      <c r="C4" s="18" t="inlineStr">
        <is>
          <t>作成支援者の確認</t>
        </is>
      </c>
      <c r="D4" s="19" t="inlineStr">
        <is>
          <t>事業計画書の作成にあたり、外部の支援（認定支援機関・コンサルタント等）を受けますか？
受ける場合、支援者名・報酬額・契約期間を教えてください。</t>
        </is>
      </c>
      <c r="E4" s="20" t="inlineStr">
        <is>
          <t>□ 外部支援の有無
□ 支援者名（認定支援機関番号があれば）
□ 報酬額・契約期間
□ 未記載は虚偽扱い（不採択・返還・公表）になることの説明
□ 申請担当者は自社の役員・従業員に限ることの説明
□ 口頭審査には支援者が同席できないこと（事業者自身が内容を説明できる必要）の説明</t>
        </is>
      </c>
      <c r="F4" s="105" t="n"/>
      <c r="G4" s="21" t="inlineStr">
        <is>
          <t>行3</t>
        </is>
      </c>
      <c r="H4" s="106" t="inlineStr">
        <is>
          <t>未記入</t>
        </is>
      </c>
    </row>
    <row r="5" ht="90" customHeight="1">
      <c r="A5" s="22" t="n">
        <v>3</v>
      </c>
      <c r="B5" s="17" t="inlineStr">
        <is>
          <t>（2）事業計画名</t>
        </is>
      </c>
      <c r="C5" s="23" t="inlineStr">
        <is>
          <t>計画名称</t>
        </is>
      </c>
      <c r="D5" s="24" t="inlineStr">
        <is>
          <t>この省力化投資を一言で言うと何ですか？
「○○を導入して、△△を省力化する」という形で教えてください。</t>
        </is>
      </c>
      <c r="E5" s="20" t="inlineStr">
        <is>
          <t>□ 導入する設備名が入っているか
□ 省力化する対象業務が入っているか
□ 30字程度に収まるか（第7回様式で「以内」→「程度」に緩和。簡潔さは維持）</t>
        </is>
      </c>
      <c r="F5" s="105" t="n"/>
      <c r="G5" s="25" t="inlineStr">
        <is>
          <t>行5</t>
        </is>
      </c>
      <c r="H5" s="107" t="inlineStr">
        <is>
          <t>未記入</t>
        </is>
      </c>
    </row>
    <row r="6" ht="128.1" customHeight="1">
      <c r="A6" s="16" t="n">
        <v>4</v>
      </c>
      <c r="B6" s="17" t="inlineStr">
        <is>
          <t>（3）事業計画概要</t>
        </is>
      </c>
      <c r="C6" s="18" t="inlineStr">
        <is>
          <t>計画概要</t>
        </is>
      </c>
      <c r="D6" s="19" t="inlineStr">
        <is>
          <t>今回の計画を100字程度で説明するとしたら、どう説明しますか？
「○○が課題で、△△を導入して、□□を実現する」の流れで教えてください。</t>
        </is>
      </c>
      <c r="E6" s="20" t="inlineStr">
        <is>
          <t>□ 人手不足の現状が入っているか
□ 投資内容（設備名）が入っているか
□ 期待される効果が入っているか</t>
        </is>
      </c>
      <c r="F6" s="105" t="n"/>
      <c r="G6" s="21" t="inlineStr">
        <is>
          <t>行6</t>
        </is>
      </c>
      <c r="H6" s="107" t="inlineStr">
        <is>
          <t>未記入</t>
        </is>
      </c>
    </row>
    <row r="7" ht="208.5" customHeight="1">
      <c r="A7" s="22" t="n">
        <v>5</v>
      </c>
      <c r="B7" s="17" t="inlineStr">
        <is>
          <t>（4）補助経費</t>
        </is>
      </c>
      <c r="C7" s="23" t="inlineStr">
        <is>
          <t>設備費用</t>
        </is>
      </c>
      <c r="D7" s="24" t="inlineStr">
        <is>
          <t>導入予定の設備について、名前・型番・メーカー名・数量・単価（税抜）を教えてください。</t>
        </is>
      </c>
      <c r="E7" s="20" t="inlineStr">
        <is>
          <t>□ 設備名
□ 型番
□ メーカー名
□ 数量
□ 単価（税抜）
□ 合計額（税抜）
□ 単価50万円（税抜）以上の機械装置・システムが1つ以上あるか（必須要件）
□ 機械装置・システム構築費以外の経費は総額500万円（税抜）までであることの確認
□ 参考見積書・カタログ等の取得状況（応募時提出が必須。事前着手に注意）
□ 交付申請時は50万円以上の契約先ごとに相見積もりが必要になることの説明</t>
        </is>
      </c>
      <c r="F7" s="105" t="n"/>
      <c r="G7" s="25" t="inlineStr">
        <is>
          <t>行7</t>
        </is>
      </c>
      <c r="H7" s="107" t="inlineStr">
        <is>
          <t>未記入</t>
        </is>
      </c>
    </row>
    <row r="8" ht="16.5" customHeight="1">
      <c r="A8" s="117" t="n"/>
      <c r="B8" s="117" t="inlineStr">
        <is>
          <t>1. 事業者の概要（現状分析・経営課題）</t>
        </is>
      </c>
      <c r="C8" s="118" t="n"/>
      <c r="D8" s="118" t="n"/>
      <c r="E8" s="118" t="n"/>
      <c r="F8" s="119" t="n"/>
      <c r="G8" s="117" t="n"/>
      <c r="H8" s="117" t="n"/>
    </row>
    <row r="9" ht="111.95" customHeight="1">
      <c r="A9" s="16" t="n">
        <v>6</v>
      </c>
      <c r="B9" s="17" t="inlineStr">
        <is>
          <t>1. 事業者の概要</t>
        </is>
      </c>
      <c r="C9" s="18" t="inlineStr">
        <is>
          <t>当社概要</t>
        </is>
      </c>
      <c r="D9" s="19" t="inlineStr">
        <is>
          <t>御社の事業内容を教えてください。
何を作っている（提供している）会社で、主なお客様は誰ですか？</t>
        </is>
      </c>
      <c r="E9" s="20" t="inlineStr">
        <is>
          <t>□ 主力事業の内容
□ 主要顧客（業種・規模）
□ 取引先数
□ 創業の経緯・沿革
□ 「何に強い会社か」が一言で言えるか</t>
        </is>
      </c>
      <c r="F9" s="105" t="n"/>
      <c r="G9" s="21" t="inlineStr">
        <is>
          <t>行9</t>
        </is>
      </c>
      <c r="H9" s="107" t="inlineStr">
        <is>
          <t>未記入</t>
        </is>
      </c>
    </row>
    <row r="10" ht="90" customHeight="1">
      <c r="A10" s="22" t="n">
        <v>7</v>
      </c>
      <c r="B10" s="17" t="inlineStr">
        <is>
          <t>1. 事業者の概要</t>
        </is>
      </c>
      <c r="C10" s="23" t="inlineStr">
        <is>
          <t>経営理念・ビジョン</t>
        </is>
      </c>
      <c r="D10" s="24" t="inlineStr">
        <is>
          <t>御社の経営理念やミッション（大切にしていること）を教えてください。
また、5年後・10年後にどんな会社にしたいですか？</t>
        </is>
      </c>
      <c r="E10" s="20" t="inlineStr">
        <is>
          <t>□ 経営理念の文言
□ ミッション・ビジョン
□ 省力化投資が理念実現にどうつながるか
□ 長期ビジョン（5年後・10年後）
□ 新規事業の構想があるか</t>
        </is>
      </c>
      <c r="F10" s="105" t="n"/>
      <c r="G10" s="25" t="inlineStr">
        <is>
          <t>行10, 14</t>
        </is>
      </c>
      <c r="H10" s="107" t="inlineStr">
        <is>
          <t>未記入</t>
        </is>
      </c>
    </row>
    <row r="11" ht="128.1" customHeight="1">
      <c r="A11" s="16" t="n">
        <v>8</v>
      </c>
      <c r="B11" s="17" t="inlineStr">
        <is>
          <t>1. 事業者の概要</t>
        </is>
      </c>
      <c r="C11" s="18" t="inlineStr">
        <is>
          <t>経営戦略</t>
        </is>
      </c>
      <c r="D11" s="19" t="inlineStr">
        <is>
          <t>御社の事業の進め方（戦略）について教えてください。
どの分野に注力していますか？今後の成長の方向性は？</t>
        </is>
      </c>
      <c r="E11" s="20" t="inlineStr">
        <is>
          <t>□ 事業領域の定義
□ 成長戦略（既存拡大 or 新規展開）
□ 経営資源の配分方針
□ 人手不足への対応方針</t>
        </is>
      </c>
      <c r="F11" s="105" t="n"/>
      <c r="G11" s="21" t="inlineStr">
        <is>
          <t>行11</t>
        </is>
      </c>
      <c r="H11" s="107" t="inlineStr">
        <is>
          <t>未記入</t>
        </is>
      </c>
    </row>
    <row r="12" ht="111.95" customHeight="1">
      <c r="A12" s="22" t="n">
        <v>9</v>
      </c>
      <c r="B12" s="17" t="inlineStr">
        <is>
          <t>1. 事業者の概要</t>
        </is>
      </c>
      <c r="C12" s="23" t="inlineStr">
        <is>
          <t>事業コンセプト</t>
        </is>
      </c>
      <c r="D12" s="24" t="inlineStr">
        <is>
          <t>御社の商品・サービスは、どのエリアの、どんなお客様に向けたものですか？
競合と比べて、御社ならではの強みは何ですか？</t>
        </is>
      </c>
      <c r="E12" s="20" t="inlineStr">
        <is>
          <t>□ 対象エリア
□ ターゲット顧客の具体像
□ 提供サービス・商品の特徴
□ 競合との差別化ポイント
□ 顧客に提供している価値
□ デジタル技術・イノベーション要素</t>
        </is>
      </c>
      <c r="F12" s="105" t="n"/>
      <c r="G12" s="25" t="inlineStr">
        <is>
          <t>行12, 13</t>
        </is>
      </c>
      <c r="H12" s="107" t="inlineStr">
        <is>
          <t>未記入</t>
        </is>
      </c>
    </row>
    <row r="13" ht="87" customHeight="1">
      <c r="A13" s="16" t="n">
        <v>10</v>
      </c>
      <c r="B13" s="17" t="inlineStr">
        <is>
          <t>1. 事業者の概要</t>
        </is>
      </c>
      <c r="C13" s="18" t="inlineStr">
        <is>
          <t>売上構成・財務</t>
        </is>
      </c>
      <c r="D13" s="19" t="inlineStr">
        <is>
          <t>事業別の売上構成比を教えてください（円グラフで使います）。
また、直近3～5年の売上推移と、主な財務指標を教えてください。</t>
        </is>
      </c>
      <c r="E13" s="20" t="inlineStr">
        <is>
          <t>□ 事業別売上構成比（%）
□ 直近3～5年の売上推移
□ 流動比率
□ 自己資本比率
□ 現預金残高
□ 営業利益の推移</t>
        </is>
      </c>
      <c r="F13" s="105" t="n"/>
      <c r="G13" s="21" t="inlineStr">
        <is>
          <t>行15, 16</t>
        </is>
      </c>
      <c r="H13" s="106" t="inlineStr">
        <is>
          <t>未記入</t>
        </is>
      </c>
    </row>
    <row r="14" ht="16.5" customHeight="1">
      <c r="A14" s="117" t="n"/>
      <c r="B14" s="117" t="inlineStr">
        <is>
          <t>1-1. 現状分析（外部・内部環境）</t>
        </is>
      </c>
      <c r="C14" s="118" t="n"/>
      <c r="D14" s="118" t="n"/>
      <c r="E14" s="118" t="n"/>
      <c r="F14" s="119" t="n"/>
      <c r="G14" s="117" t="n"/>
      <c r="H14" s="117" t="n"/>
    </row>
    <row r="15" ht="90" customHeight="1">
      <c r="A15" s="22" t="n">
        <v>11</v>
      </c>
      <c r="B15" s="17" t="inlineStr">
        <is>
          <t>1-1 現状分析</t>
        </is>
      </c>
      <c r="C15" s="23" t="inlineStr">
        <is>
          <t>外部環境：政治・制度</t>
        </is>
      </c>
      <c r="D15" s="24" t="inlineStr">
        <is>
          <t>御社の業界に関係する法律や制度の変化はありますか？
（補助金制度、規制強化、政策支援など）</t>
        </is>
      </c>
      <c r="E15" s="20" t="inlineStr">
        <is>
          <t>□ ポジティブ要因（補助金、規制緩和、政策支援）
□ ネガティブ要因（規制強化、人手不足対策の遅れ）
□ 公的データの裏付け</t>
        </is>
      </c>
      <c r="F15" s="105" t="n"/>
      <c r="G15" s="25" t="inlineStr">
        <is>
          <t>行17</t>
        </is>
      </c>
      <c r="H15" s="107" t="inlineStr">
        <is>
          <t>未記入</t>
        </is>
      </c>
    </row>
    <row r="16" ht="90" customHeight="1">
      <c r="A16" s="16" t="n">
        <v>12</v>
      </c>
      <c r="B16" s="17" t="inlineStr">
        <is>
          <t>1-1 現状分析</t>
        </is>
      </c>
      <c r="C16" s="18" t="inlineStr">
        <is>
          <t>外部環境：経済</t>
        </is>
      </c>
      <c r="D16" s="19" t="inlineStr">
        <is>
          <t>御社の業界の市場は成長していますか？縮小していますか？
原材料費や人件費の変動はどうですか？</t>
        </is>
      </c>
      <c r="E16" s="20" t="inlineStr">
        <is>
          <t>□ 市場規模・成長率のデータ
□ 原材料費の動向
□ 人件費の上昇傾向
□ 為替の影響</t>
        </is>
      </c>
      <c r="F16" s="105" t="n"/>
      <c r="G16" s="21" t="inlineStr">
        <is>
          <t>行18</t>
        </is>
      </c>
      <c r="H16" s="107" t="inlineStr">
        <is>
          <t>未記入</t>
        </is>
      </c>
    </row>
    <row r="17" ht="90" customHeight="1">
      <c r="A17" s="22" t="n">
        <v>13</v>
      </c>
      <c r="B17" s="17" t="inlineStr">
        <is>
          <t>1-1 現状分析</t>
        </is>
      </c>
      <c r="C17" s="23" t="inlineStr">
        <is>
          <t>外部環境：社会</t>
        </is>
      </c>
      <c r="D17" s="24" t="inlineStr">
        <is>
          <t>人手不足の状況はどうですか？
求人を出しても応募がないなど、具体的に困っていることは？</t>
        </is>
      </c>
      <c r="E17" s="20" t="inlineStr">
        <is>
          <t>□ 有効求人倍率（業界・地域）
□ 採用難の具体エピソード
□ 少子高齢化の影響
□ 社会的な需要の変化</t>
        </is>
      </c>
      <c r="F17" s="105" t="n"/>
      <c r="G17" s="25" t="inlineStr">
        <is>
          <t>行19</t>
        </is>
      </c>
      <c r="H17" s="106" t="inlineStr">
        <is>
          <t>未記入</t>
        </is>
      </c>
    </row>
    <row r="18" ht="90" customHeight="1">
      <c r="A18" s="16" t="n">
        <v>14</v>
      </c>
      <c r="B18" s="17" t="inlineStr">
        <is>
          <t>1-1 現状分析</t>
        </is>
      </c>
      <c r="C18" s="18" t="inlineStr">
        <is>
          <t>外部環境：技術</t>
        </is>
      </c>
      <c r="D18" s="19" t="inlineStr">
        <is>
          <t>御社の業界で注目されている新しい技術はありますか？
（AI、IoT、自動化、ロボット等）それらを取り入れる余地はありますか？</t>
        </is>
      </c>
      <c r="E18" s="20" t="inlineStr">
        <is>
          <t>□ 業界の技術トレンド
□ AI・IoT・自動化技術の活用可能性
□ 技術変化への対応状況</t>
        </is>
      </c>
      <c r="F18" s="105" t="n"/>
      <c r="G18" s="21" t="inlineStr">
        <is>
          <t>行20</t>
        </is>
      </c>
      <c r="H18" s="107" t="inlineStr">
        <is>
          <t>未記入</t>
        </is>
      </c>
    </row>
    <row r="19" ht="90" customHeight="1">
      <c r="A19" s="22" t="n">
        <v>15</v>
      </c>
      <c r="B19" s="17" t="inlineStr">
        <is>
          <t>1-1 現状分析</t>
        </is>
      </c>
      <c r="C19" s="23" t="inlineStr">
        <is>
          <t>内部環境：人材・組織</t>
        </is>
      </c>
      <c r="D19" s="24" t="inlineStr">
        <is>
          <t>御社の人材面での強みと弱みは何ですか？
熟練者への依存、属人化している業務、後継者問題などはありますか？</t>
        </is>
      </c>
      <c r="E19" s="20" t="inlineStr">
        <is>
          <t>□ 強み（熟練技術者、チームワーク）
□ 弱み（属人化、後継者不足、教育体制の不備）
□ 弱みは「設備で解決可能」な内容に絞る</t>
        </is>
      </c>
      <c r="F19" s="105" t="n"/>
      <c r="G19" s="25" t="inlineStr">
        <is>
          <t>行21</t>
        </is>
      </c>
      <c r="H19" s="107" t="inlineStr">
        <is>
          <t>未記入</t>
        </is>
      </c>
    </row>
    <row r="20" ht="90" customHeight="1">
      <c r="A20" s="16" t="n">
        <v>16</v>
      </c>
      <c r="B20" s="17" t="inlineStr">
        <is>
          <t>1-1 現状分析</t>
        </is>
      </c>
      <c r="C20" s="18" t="inlineStr">
        <is>
          <t>内部環境：技術・サービス</t>
        </is>
      </c>
      <c r="D20" s="19" t="inlineStr">
        <is>
          <t>御社の技術やサービスの強みは何ですか？
一方で、手作業に頼っている部分、効率が悪い部分はどこですか？</t>
        </is>
      </c>
      <c r="E20" s="20" t="inlineStr">
        <is>
          <t>□ 技術的な強み（品質、独自技術）
□ 弱み（手作業依存、非効率、デジタル化遅れ）
□ 省力化投資で解決できる課題</t>
        </is>
      </c>
      <c r="F20" s="105" t="n"/>
      <c r="G20" s="21" t="inlineStr">
        <is>
          <t>行22</t>
        </is>
      </c>
      <c r="H20" s="107" t="inlineStr">
        <is>
          <t>未記入</t>
        </is>
      </c>
    </row>
    <row r="21" ht="60" customHeight="1">
      <c r="A21" s="22" t="n">
        <v>17</v>
      </c>
      <c r="B21" s="17" t="inlineStr">
        <is>
          <t>1-1 現状分析</t>
        </is>
      </c>
      <c r="C21" s="23" t="inlineStr">
        <is>
          <t>内部環境：財務・営業</t>
        </is>
      </c>
      <c r="D21" s="24" t="inlineStr">
        <is>
          <t>財務面・営業面での強みと課題は何ですか？
安定した取引先はありますか？逆に、受注したいのにできない状況はありますか？</t>
        </is>
      </c>
      <c r="E21" s="20" t="inlineStr">
        <is>
          <t>□ 強み（安定取引先、収益性）
□ 弱み（原価率高、利益率低下）
□ 受注機会の逸失（金額換算できると◎）</t>
        </is>
      </c>
      <c r="F21" s="105" t="n"/>
      <c r="G21" s="25" t="inlineStr">
        <is>
          <t>行23</t>
        </is>
      </c>
      <c r="H21" s="106" t="inlineStr">
        <is>
          <t>未記入</t>
        </is>
      </c>
    </row>
    <row r="22" ht="16.5" customHeight="1">
      <c r="A22" s="117" t="n"/>
      <c r="B22" s="117" t="inlineStr">
        <is>
          <t>1-2. 経営課題</t>
        </is>
      </c>
      <c r="C22" s="118" t="n"/>
      <c r="D22" s="118" t="n"/>
      <c r="E22" s="118" t="n"/>
      <c r="F22" s="119" t="n"/>
      <c r="G22" s="117" t="n"/>
      <c r="H22" s="117" t="n"/>
    </row>
    <row r="23" ht="176.1" customHeight="1">
      <c r="A23" s="16" t="n">
        <v>18</v>
      </c>
      <c r="B23" s="17" t="inlineStr">
        <is>
          <t>1-2 経営課題</t>
        </is>
      </c>
      <c r="C23" s="18" t="inlineStr">
        <is>
          <t>課題の全体像</t>
        </is>
      </c>
      <c r="D23" s="19" t="inlineStr">
        <is>
          <t>現在の経営課題を3～4つ挙げるとしたら、何ですか？
それらの課題はお互いにどう影響し合っていますか？</t>
        </is>
      </c>
      <c r="E23" s="20" t="inlineStr">
        <is>
          <t>□ 課題を3～4つ列挙
□ 課題間の因果関係
□ 「収益性悪化」「成長機会喪失」の2軸で整理
□ 省力化投資で一括解決できるストーリー</t>
        </is>
      </c>
      <c r="F23" s="105" t="n"/>
      <c r="G23" s="21" t="inlineStr">
        <is>
          <t>行24</t>
        </is>
      </c>
      <c r="H23" s="107" t="inlineStr">
        <is>
          <t>未記入</t>
        </is>
      </c>
    </row>
    <row r="24" ht="208.5" customHeight="1">
      <c r="A24" s="22" t="n">
        <v>19</v>
      </c>
      <c r="B24" s="17" t="inlineStr">
        <is>
          <t>1-2 経営課題</t>
        </is>
      </c>
      <c r="C24" s="23" t="inlineStr">
        <is>
          <t>課題の数値化
【最重要】</t>
        </is>
      </c>
      <c r="D24" s="24" t="inlineStr">
        <is>
          <t>各課題について、具体的な数値を教えてください。
・その作業に何人で何分かかっていますか？
・不良率は何%ですか？
・残業は月何時間ですか？
・受注を断った件数や金額は？</t>
        </is>
      </c>
      <c r="E24" s="20" t="inlineStr">
        <is>
          <t>【最重要項目】必ず数値で把握する：
□ 工程数と各工程の所要時間（分単位）
□ 各工程の配置人数
□ 不良率（%）
□ 作業コスト（円/個、円/件）
□ 欠員数・残業時間
□ 受注辞退件数・金額
□ 有効求人倍率（地域・業種別。出典と年月もセットで）
□ ボトルネックの物理的根拠（例：1袋50kg超を半分に割る、機械の容量上限、1本ずつ目視）
□ 前後工程との能力差（例：前工程2,000パック/時に対し当該工程600パック/時が上限）</t>
        </is>
      </c>
      <c r="F24" s="105" t="n"/>
      <c r="G24" s="25" t="inlineStr">
        <is>
          <t>行25</t>
        </is>
      </c>
      <c r="H24" s="106" t="inlineStr">
        <is>
          <t>未記入</t>
        </is>
      </c>
    </row>
    <row r="25" ht="16.5" customHeight="1">
      <c r="A25" s="117" t="n"/>
      <c r="B25" s="117" t="inlineStr">
        <is>
          <t>1-3. 省力化補助金活用の動機・目的</t>
        </is>
      </c>
      <c r="C25" s="118" t="n"/>
      <c r="D25" s="118" t="n"/>
      <c r="E25" s="118" t="n"/>
      <c r="F25" s="119" t="n"/>
      <c r="G25" s="117" t="n"/>
      <c r="H25" s="117" t="n"/>
    </row>
    <row r="26" ht="90" customHeight="1">
      <c r="A26" s="16" t="n">
        <v>20</v>
      </c>
      <c r="B26" s="17" t="inlineStr">
        <is>
          <t>1-3 動機・目的</t>
        </is>
      </c>
      <c r="C26" s="18" t="inlineStr">
        <is>
          <t>ボトルネック工程</t>
        </is>
      </c>
      <c r="D26" s="19" t="inlineStr">
        <is>
          <t>一番のボトルネック（障害）になっている工程はどこですか？
そこが解消されれば、全体がどう良くなりますか？</t>
        </is>
      </c>
      <c r="E26" s="20" t="inlineStr">
        <is>
          <t>□ ボトルネック工程の特定
□ そこが解消された場合の全体への波及効果
□ 省力化投資が経営課題の解決につながる論理</t>
        </is>
      </c>
      <c r="F26" s="105" t="n"/>
      <c r="G26" s="21" t="inlineStr">
        <is>
          <t>行26</t>
        </is>
      </c>
      <c r="H26" s="107" t="inlineStr">
        <is>
          <t>未記入</t>
        </is>
      </c>
    </row>
    <row r="27" ht="114" customHeight="1">
      <c r="A27" s="22" t="n">
        <v>21</v>
      </c>
      <c r="B27" s="17" t="inlineStr">
        <is>
          <t>1-3 動機・目的</t>
        </is>
      </c>
      <c r="C27" s="23" t="inlineStr">
        <is>
          <t>省力化投資の必然性</t>
        </is>
      </c>
      <c r="D27" s="24" t="inlineStr">
        <is>
          <t>人を雇う、外注する、ではなく、設備を入れることが最善な理由は何ですか？
採用の難しさ、外注の問題点など教えてください。</t>
        </is>
      </c>
      <c r="E27" s="20" t="inlineStr">
        <is>
          <t>□ 「採用では解決できない」理由（有効求人倍率・応募ゼロの実績等）
□ 「外注では解決できない」理由（品質管理・規制/認証・ノウハウ流出等）
□ 「汎用品・中古設備では解決できない」理由
□ 設備投資でなければならない必然性（消去法で「唯一の解決策」と言えるか）</t>
        </is>
      </c>
      <c r="F27" s="105" t="n"/>
      <c r="G27" s="25" t="inlineStr">
        <is>
          <t>行27</t>
        </is>
      </c>
      <c r="H27" s="107" t="inlineStr">
        <is>
          <t>未記入</t>
        </is>
      </c>
    </row>
    <row r="28" ht="60" customHeight="1">
      <c r="A28" s="16" t="n">
        <v>22</v>
      </c>
      <c r="B28" s="17" t="inlineStr">
        <is>
          <t>1-3 動機・目的</t>
        </is>
      </c>
      <c r="C28" s="18" t="inlineStr">
        <is>
          <t>理念との関連</t>
        </is>
      </c>
      <c r="D28" s="19" t="inlineStr">
        <is>
          <t>今回の省力化投資は、御社の経営理念とどうつながりますか？
「人減らし」ではなく「人の価値を高める投資」という点で、どうお考えですか？</t>
        </is>
      </c>
      <c r="E28" s="20" t="inlineStr">
        <is>
          <t>□ 経営理念との一貫性
□ 省力化＝人の価値向上という位置づけ
□ 投資の社会的意義</t>
        </is>
      </c>
      <c r="F28" s="105" t="n"/>
      <c r="G28" s="21" t="inlineStr">
        <is>
          <t>行28</t>
        </is>
      </c>
      <c r="H28" s="107" t="inlineStr">
        <is>
          <t>未記入</t>
        </is>
      </c>
    </row>
    <row r="29" ht="16.5" customHeight="1">
      <c r="A29" s="117" t="n"/>
      <c r="B29" s="117" t="inlineStr">
        <is>
          <t>2. 省力化投資の具体的内容</t>
        </is>
      </c>
      <c r="C29" s="118" t="n"/>
      <c r="D29" s="118" t="n"/>
      <c r="E29" s="118" t="n"/>
      <c r="F29" s="119" t="n"/>
      <c r="G29" s="117" t="n"/>
      <c r="H29" s="117" t="n"/>
    </row>
    <row r="30" ht="195" customHeight="1">
      <c r="A30" s="22" t="n">
        <v>23</v>
      </c>
      <c r="B30" s="17" t="inlineStr">
        <is>
          <t>2. 投資内容</t>
        </is>
      </c>
      <c r="C30" s="23" t="inlineStr">
        <is>
          <t>設備の全体像</t>
        </is>
      </c>
      <c r="D30" s="24" t="inlineStr">
        <is>
          <t>導入する設備の全体像を教えてください。
どんな設備を、どこに、どう配置しますか？
システム全体の構成図はありますか？</t>
        </is>
      </c>
      <c r="E30" s="20" t="inlineStr">
        <is>
          <t>□ 設備構成の全体像
□ 各設備の役割と連携（どのボトルネックをどの設備が解決するか1対1で）
□ デジタル技術（AI・IoT等）の活用有無（必須ではないが政策面で有利）
□ オーダーメイド（専用設備）であること
□ 発注予定先（メーカー名）
□ カタログ注文型の製品カタログ登録カテゴリに該当する製品か（該当なら審査で一部考慮。単体導入はカタログ型へ）
□ 導入設備の製造元が中小企業か（イノベーション製品応援プログラムの追加資料で審査考慮）</t>
        </is>
      </c>
      <c r="F30" s="105" t="n"/>
      <c r="G30" s="25" t="inlineStr">
        <is>
          <t>行29</t>
        </is>
      </c>
      <c r="H30" s="107" t="inlineStr">
        <is>
          <t>未記入</t>
        </is>
      </c>
    </row>
    <row r="31" ht="111.95" customHeight="1">
      <c r="A31" s="16" t="n">
        <v>24</v>
      </c>
      <c r="B31" s="17" t="inlineStr">
        <is>
          <t>2. 投資内容</t>
        </is>
      </c>
      <c r="C31" s="18" t="inlineStr">
        <is>
          <t>設備の詳細スペック</t>
        </is>
      </c>
      <c r="D31" s="19" t="inlineStr">
        <is>
          <t>各設備のメーカー名・型番・性能（スペック）を教えてください。
例えば処理速度、精度、サイズなどの数値がわかりますか？</t>
        </is>
      </c>
      <c r="E31" s="20" t="inlineStr">
        <is>
          <t>□ 設備名・型番・メーカー名
□ 税抜価格（設備ごと）
□ 定量的なスペック（処理速度、精度、サイズ等）
□ カタログや見積書があるか（第7回から応募時提出が必須）</t>
        </is>
      </c>
      <c r="F31" s="105" t="n"/>
      <c r="G31" s="21" t="inlineStr">
        <is>
          <t>行30</t>
        </is>
      </c>
      <c r="H31" s="106" t="inlineStr">
        <is>
          <t>未記入</t>
        </is>
      </c>
    </row>
    <row r="32" ht="96" customHeight="1">
      <c r="A32" s="22" t="n">
        <v>25</v>
      </c>
      <c r="B32" s="17" t="inlineStr">
        <is>
          <t>2. 投資内容</t>
        </is>
      </c>
      <c r="C32" s="23" t="inlineStr">
        <is>
          <t>カスタマイズ内容</t>
        </is>
      </c>
      <c r="D32" s="24" t="inlineStr">
        <is>
          <t>オーダーメイドである必要性は何ですか？
この設備は御社専用に作られる部分がありますか？
市販品とどこが違いますか？メーカーとの打合せはどの程度進んでいますか？</t>
        </is>
      </c>
      <c r="E32" s="20" t="inlineStr">
        <is>
          <t>□ 物理的カスタマイズの内容
□ ソフトウェア的カスタマイズの内容
□ 御社の現場レイアウトへの適合
□ メーカーとの打合せ回数・内容
□ 見積取得済みか</t>
        </is>
      </c>
      <c r="F32" s="105" t="n"/>
      <c r="G32" s="25" t="inlineStr">
        <is>
          <t>行31</t>
        </is>
      </c>
      <c r="H32" s="107" t="inlineStr">
        <is>
          <t>未記入</t>
        </is>
      </c>
    </row>
    <row r="33" ht="60" customHeight="1">
      <c r="A33" s="16" t="n">
        <v>26</v>
      </c>
      <c r="B33" s="17" t="inlineStr">
        <is>
          <t>2. 投資内容</t>
        </is>
      </c>
      <c r="C33" s="18" t="inlineStr">
        <is>
          <t>設備選定理由</t>
        </is>
      </c>
      <c r="D33" s="19" t="inlineStr">
        <is>
          <t>他の設備（代替案）と比較しましたか？なぜこの設備を選んだのですか？
すでに使った実績があれば教えてください。</t>
        </is>
      </c>
      <c r="E33" s="20" t="inlineStr">
        <is>
          <t>□ 代替案との比較検討
□ この設備・組み合わせを選んだ理由
□ 実証実績（PoC、試用）の有無
□ コスト・レイアウト・将来性の観点</t>
        </is>
      </c>
      <c r="F33" s="105" t="n"/>
      <c r="G33" s="21" t="inlineStr">
        <is>
          <t>行32</t>
        </is>
      </c>
      <c r="H33" s="107" t="inlineStr">
        <is>
          <t>未記入</t>
        </is>
      </c>
    </row>
    <row r="34" ht="16.5" customHeight="1">
      <c r="A34" s="117" t="n"/>
      <c r="B34" s="117" t="inlineStr">
        <is>
          <t>2-1. 省力化のビフォーアフター</t>
        </is>
      </c>
      <c r="C34" s="118" t="n"/>
      <c r="D34" s="118" t="n"/>
      <c r="E34" s="118" t="n"/>
      <c r="F34" s="119" t="n"/>
      <c r="G34" s="117" t="n"/>
      <c r="H34" s="117" t="n"/>
    </row>
    <row r="35" ht="114" customHeight="1">
      <c r="A35" s="22" t="n">
        <v>27</v>
      </c>
      <c r="B35" s="17" t="inlineStr">
        <is>
          <t>2-1 ビフォーアフター</t>
        </is>
      </c>
      <c r="C35" s="23" t="inlineStr">
        <is>
          <t>業務プロセスの
ビフォーアフター
【最重要】</t>
        </is>
      </c>
      <c r="D35" s="24" t="inlineStr">
        <is>
          <t>設備導入の前と後で、業務の流れがどう変わりますか？
各工程について、所要時間（分単位）を教えてください。
例：「今は○○工程に△△分→導入後は□□分になる」</t>
        </is>
      </c>
      <c r="E35" s="20" t="inlineStr">
        <is>
          <t>【最重要項目】工程ごとの時間を必ず取得：
□ 現状の業務フロー（工程の順番）
□ 各工程の所要時間（分単位）
□ 導入後の業務フロー
□ 導入後の各工程の所要時間
□ 削減される工程、変化しない工程、追加される工程</t>
        </is>
      </c>
      <c r="F35" s="105" t="n"/>
      <c r="G35" s="25" t="inlineStr">
        <is>
          <t>行33</t>
        </is>
      </c>
      <c r="H35" s="107" t="inlineStr">
        <is>
          <t>未記入</t>
        </is>
      </c>
    </row>
    <row r="36" ht="96" customHeight="1">
      <c r="A36" s="16" t="n">
        <v>28</v>
      </c>
      <c r="B36" s="17" t="inlineStr">
        <is>
          <t>2-1 ビフォーアフター</t>
        </is>
      </c>
      <c r="C36" s="18" t="inlineStr">
        <is>
          <t>レイアウト変更</t>
        </is>
      </c>
      <c r="D36" s="19" t="inlineStr">
        <is>
          <t>設備を入れることで、工場や事務所のレイアウト（配置）は変わりますか？
動線（人の動き）はどう変わりますか？</t>
        </is>
      </c>
      <c r="E36" s="20" t="inlineStr">
        <is>
          <t>□ Before/Afterのレイアウト変更有無
□ 動線の改善ポイント
□ 平面図の用意</t>
        </is>
      </c>
      <c r="F36" s="105" t="n"/>
      <c r="G36" s="21" t="inlineStr">
        <is>
          <t>行34</t>
        </is>
      </c>
      <c r="H36" s="107" t="inlineStr">
        <is>
          <t>未記入</t>
        </is>
      </c>
    </row>
    <row r="37" ht="96" customHeight="1">
      <c r="A37" s="22" t="n">
        <v>29</v>
      </c>
      <c r="B37" s="17" t="inlineStr">
        <is>
          <t>2-1 ビフォーアフター</t>
        </is>
      </c>
      <c r="C37" s="23" t="inlineStr">
        <is>
          <t>人員配置の変化</t>
        </is>
      </c>
      <c r="D37" s="24" t="inlineStr">
        <is>
          <t>設備導入で人員配置はどう変わりますか？
減った分の人はどこに回しますか？</t>
        </is>
      </c>
      <c r="E37" s="20" t="inlineStr">
        <is>
          <t>□ 現状の工程別配置人数
□ 導入後の工程別配置人数
□ 削減された人員の再配置先
□ 「人減らし」ではなく「人の再配置」であること</t>
        </is>
      </c>
      <c r="F37" s="105" t="n"/>
      <c r="G37" s="25" t="inlineStr">
        <is>
          <t>行35</t>
        </is>
      </c>
      <c r="H37" s="107" t="inlineStr">
        <is>
          <t>未記入</t>
        </is>
      </c>
    </row>
    <row r="38" ht="168" customHeight="1">
      <c r="A38" s="16" t="n">
        <v>30</v>
      </c>
      <c r="B38" s="17" t="inlineStr">
        <is>
          <t>2-1 ビフォーアフター</t>
        </is>
      </c>
      <c r="C38" s="18" t="inlineStr">
        <is>
          <t>省力化指数の
算出根拠</t>
        </is>
      </c>
      <c r="D38" s="19" t="inlineStr">
        <is>
          <t>削減される作業時間と、新たに追加される作業時間を教えてください。
（省力化指数＝（削減される時間－導入後に発生する時間）÷削減される時間 で計算します）</t>
        </is>
      </c>
      <c r="E38" s="20" t="inlineStr">
        <is>
          <t>□ 削減される作業の一覧と時間
□ 変化しない作業の一覧
□ 新たに追加される作業の一覧と時間
□ 省力化指数の計算（目安：20%以上、採択8社は63.6%～100%）
□ 設備が自動で行う工程は別紙1に記載しないことの確認
□ 不定期な作業は稼働日ベースの日割りで換算（FAQ）
□ 新規事業の場合は「設備なしで行う場合の見込み値」を導入前とできる（FAQ）</t>
        </is>
      </c>
      <c r="F38" s="105" t="n"/>
      <c r="G38" s="21" t="inlineStr">
        <is>
          <t>行36</t>
        </is>
      </c>
      <c r="H38" s="106" t="inlineStr">
        <is>
          <t>未記入</t>
        </is>
      </c>
    </row>
    <row r="39" ht="16.5" customHeight="1">
      <c r="A39" s="117" t="n"/>
      <c r="B39" s="117" t="inlineStr">
        <is>
          <t>2-2. 期待される効果と波及効果</t>
        </is>
      </c>
      <c r="C39" s="118" t="n"/>
      <c r="D39" s="118" t="n"/>
      <c r="E39" s="118" t="n"/>
      <c r="F39" s="119" t="n"/>
      <c r="G39" s="117" t="n"/>
      <c r="H39" s="117" t="n"/>
    </row>
    <row r="40" ht="100.5" customHeight="1">
      <c r="A40" s="22" t="n">
        <v>31</v>
      </c>
      <c r="B40" s="17" t="inlineStr">
        <is>
          <t>2-2 効果</t>
        </is>
      </c>
      <c r="C40" s="23" t="inlineStr">
        <is>
          <t>期待効果
（定量的に）</t>
        </is>
      </c>
      <c r="D40" s="24" t="inlineStr">
        <is>
          <t>設備導入で具体的にどんな効果がありますか？
・作業時間がどれだけ減る？
・コストがどれだけ下がる？
・品質がどう良くなる？
・受注がどれだけ増える？</t>
        </is>
      </c>
      <c r="E40" s="20" t="inlineStr">
        <is>
          <t>□ 工数削減（○分→△分、○%削減）
□ コスト削減（年間○○万円）
□ 品質向上（不良率○%→△%）
□ 受注増（年間○○件/○○万円増）
□ 副次効果も確認：身体的負担の軽減・労働環境改善（→定着率）、品質の均一化、属人化の解消（新人でも作業可能）</t>
        </is>
      </c>
      <c r="F40" s="105" t="n"/>
      <c r="G40" s="25" t="inlineStr">
        <is>
          <t>行37</t>
        </is>
      </c>
      <c r="H40" s="106" t="inlineStr">
        <is>
          <t>未記入</t>
        </is>
      </c>
    </row>
    <row r="41" ht="128.1" customHeight="1">
      <c r="A41" s="16" t="n">
        <v>32</v>
      </c>
      <c r="B41" s="17" t="inlineStr">
        <is>
          <t>2-2 効果</t>
        </is>
      </c>
      <c r="C41" s="18" t="inlineStr">
        <is>
          <t>波及効果</t>
        </is>
      </c>
      <c r="D41" s="19" t="inlineStr">
        <is>
          <t>省力化で生まれた余裕（時間・人手）を、どこに振り向けますか？
会社全体や地域にどんな良い影響がありますか？</t>
        </is>
      </c>
      <c r="E41" s="20" t="inlineStr">
        <is>
          <t>□ リソース再配置先の具体計画
□ 事業全体への影響
□ 地域経済への貢献
□ 需要拡大・競争促進の効果</t>
        </is>
      </c>
      <c r="F41" s="105" t="n"/>
      <c r="G41" s="21" t="inlineStr">
        <is>
          <t>行38</t>
        </is>
      </c>
      <c r="H41" s="107" t="inlineStr">
        <is>
          <t>未記入</t>
        </is>
      </c>
    </row>
    <row r="42" ht="154.5" customHeight="1">
      <c r="A42" s="22" t="n">
        <v>33</v>
      </c>
      <c r="B42" s="17" t="inlineStr">
        <is>
          <t>2-2 効果</t>
        </is>
      </c>
      <c r="C42" s="23" t="inlineStr">
        <is>
          <t>投資回収期間</t>
        </is>
      </c>
      <c r="D42" s="24" t="inlineStr">
        <is>
          <t>投資の回収は何年くらいで見込んでいますか？
人件費の時間単価はいくらですか？年間稼働日数は何日ですか？</t>
        </is>
      </c>
      <c r="E42" s="20" t="inlineStr">
        <is>
          <t>□ 投資総額（税抜。補助対象外の経費も含む）
□ 年間削減工数（時間）
□ 年間稼働日数
□ 人件費単価（円/時間）＝事業者全体の総人件費÷総労働時間（従業員＋役員）の算出根拠
□ 増加付加価値額＝（計画最終年－基準年度）÷計画年数
□ 回収期間の計算（目安：1年未満。採択8社は0.17～0.76年）</t>
        </is>
      </c>
      <c r="F42" s="105" t="n"/>
      <c r="G42" s="25" t="inlineStr">
        <is>
          <t>行39</t>
        </is>
      </c>
      <c r="H42" s="106" t="inlineStr">
        <is>
          <t>未記入</t>
        </is>
      </c>
    </row>
    <row r="43" ht="16.5" customHeight="1">
      <c r="A43" s="117" t="n"/>
      <c r="B43" s="117" t="inlineStr">
        <is>
          <t>3. 省力化で生まれるリソースの活用と付加価値創出</t>
        </is>
      </c>
      <c r="C43" s="118" t="n"/>
      <c r="D43" s="118" t="n"/>
      <c r="E43" s="118" t="n"/>
      <c r="F43" s="119" t="n"/>
      <c r="G43" s="117" t="n"/>
      <c r="H43" s="117" t="n"/>
    </row>
    <row r="44" ht="114" customHeight="1">
      <c r="A44" s="16" t="n">
        <v>34</v>
      </c>
      <c r="B44" s="17" t="inlineStr">
        <is>
          <t>3. 付加価値創出</t>
        </is>
      </c>
      <c r="C44" s="18" t="inlineStr">
        <is>
          <t>リソース配分方針</t>
        </is>
      </c>
      <c r="D44" s="19" t="inlineStr">
        <is>
          <t>省力化で生まれた時間や人手を、具体的にどう使いますか？
できれば配分の割合（%）や人時で教えてください。</t>
        </is>
      </c>
      <c r="E44" s="20" t="inlineStr">
        <is>
          <t>□ 創出されるリソース量（人時/日または時間/年で定式化）
□ 配分先（5～6分野）
□ 各配分先への配分率（%）と人時数
□ 各配分先のKPI（成果指標）が立てられるか
□ 配分の優先順位が経営戦略・課題と紐づいているか</t>
        </is>
      </c>
      <c r="F44" s="105" t="n"/>
      <c r="G44" s="21" t="inlineStr">
        <is>
          <t>行40</t>
        </is>
      </c>
      <c r="H44" s="107" t="inlineStr">
        <is>
          <t>未記入</t>
        </is>
      </c>
    </row>
    <row r="45" ht="90" customHeight="1">
      <c r="A45" s="22" t="n">
        <v>35</v>
      </c>
      <c r="B45" s="17" t="inlineStr">
        <is>
          <t>3. 付加価値創出</t>
        </is>
      </c>
      <c r="C45" s="23" t="inlineStr">
        <is>
          <t>既存事業の向上</t>
        </is>
      </c>
      <c r="D45" s="24" t="inlineStr">
        <is>
          <t>既存の事業で、省力化によって品質が上がる・生産量が増える部分はどこですか？
具体的にどれくらい改善しますか？</t>
        </is>
      </c>
      <c r="E45" s="20" t="inlineStr">
        <is>
          <t>□ 品質向上の具体内容と数値
□ 生産量増加の見込み
□ 歩留まり改善率
□ 原価削減への寄与</t>
        </is>
      </c>
      <c r="F45" s="105" t="n"/>
      <c r="G45" s="25" t="inlineStr">
        <is>
          <t>行41</t>
        </is>
      </c>
      <c r="H45" s="107" t="inlineStr">
        <is>
          <t>未記入</t>
        </is>
      </c>
    </row>
    <row r="46" ht="90" customHeight="1">
      <c r="A46" s="16" t="n">
        <v>36</v>
      </c>
      <c r="B46" s="17" t="inlineStr">
        <is>
          <t>3. 付加価値創出</t>
        </is>
      </c>
      <c r="C46" s="18" t="inlineStr">
        <is>
          <t>新規事業・営業強化</t>
        </is>
      </c>
      <c r="D46" s="19" t="inlineStr">
        <is>
          <t>省力化で余裕ができたら、新しく始めたいこと・強化したいことはありますか？
（新商品、新規顧客、新サービスなど）</t>
        </is>
      </c>
      <c r="E46" s="20" t="inlineStr">
        <is>
          <t>□ 新規事業の構想（既存事業の延長線上）
□ 営業強化の計画
□ 新規顧客の具体的見込み
□ 飛躍しすぎていないか</t>
        </is>
      </c>
      <c r="F46" s="105" t="n"/>
      <c r="G46" s="21" t="inlineStr">
        <is>
          <t>行42</t>
        </is>
      </c>
      <c r="H46" s="107" t="inlineStr">
        <is>
          <t>未記入</t>
        </is>
      </c>
    </row>
    <row r="47" ht="96" customHeight="1">
      <c r="A47" s="22" t="n">
        <v>37</v>
      </c>
      <c r="B47" s="17" t="inlineStr">
        <is>
          <t>3. 付加価値創出</t>
        </is>
      </c>
      <c r="C47" s="23" t="inlineStr">
        <is>
          <t>品質・認証体制</t>
        </is>
      </c>
      <c r="D47" s="24" t="inlineStr">
        <is>
          <t>HACCP、ISO、その他の認証を取得する計画はありますか？
品質管理体制をどう強化しますか？</t>
        </is>
      </c>
      <c r="E47" s="20" t="inlineStr">
        <is>
          <t>□ HACCP/ISO等の取得計画
□ 品質管理体制の強化内容
□ 記録・トレーサビリティ体制</t>
        </is>
      </c>
      <c r="F47" s="105" t="n"/>
      <c r="G47" s="25" t="inlineStr">
        <is>
          <t>行43</t>
        </is>
      </c>
      <c r="H47" s="106" t="inlineStr">
        <is>
          <t>未記入</t>
        </is>
      </c>
    </row>
    <row r="48" ht="90" customHeight="1">
      <c r="A48" s="16" t="n">
        <v>38</v>
      </c>
      <c r="B48" s="17" t="inlineStr">
        <is>
          <t>3. 付加価値創出</t>
        </is>
      </c>
      <c r="C48" s="18" t="inlineStr">
        <is>
          <t>人材育成・技術継承</t>
        </is>
      </c>
      <c r="D48" s="19" t="inlineStr">
        <is>
          <t>熟練者の技術を次の世代に伝える計画はありますか？
マニュアル整備や教育体制はどうしていますか？</t>
        </is>
      </c>
      <c r="E48" s="20" t="inlineStr">
        <is>
          <t>□ 技術継承の計画
□ 多能工化の仕組み
□ マニュアル整備状況
□ ローテーション体制
□ 教育訓練の頻度・内容</t>
        </is>
      </c>
      <c r="F48" s="105" t="n"/>
      <c r="G48" s="21" t="inlineStr">
        <is>
          <t>行44</t>
        </is>
      </c>
      <c r="H48" s="107" t="inlineStr">
        <is>
          <t>未記入</t>
        </is>
      </c>
    </row>
    <row r="49" ht="60" customHeight="1">
      <c r="A49" s="22" t="n">
        <v>39</v>
      </c>
      <c r="B49" s="17" t="inlineStr">
        <is>
          <t>3. 付加価値創出</t>
        </is>
      </c>
      <c r="C49" s="23" t="inlineStr">
        <is>
          <t>地域への貢献</t>
        </is>
      </c>
      <c r="D49" s="24" t="inlineStr">
        <is>
          <t>御社の事業は地域にどう貢献していますか？
省力化投資によって地域への良い影響はありますか？</t>
        </is>
      </c>
      <c r="E49" s="20" t="inlineStr">
        <is>
          <t>□ 地元サプライチェーンへの発注
□ 雇用維持・創出
□ 国の政策との整合性
□ 地域未来牽引企業等の認定有無</t>
        </is>
      </c>
      <c r="F49" s="105" t="n"/>
      <c r="G49" s="25" t="inlineStr">
        <is>
          <t>行45</t>
        </is>
      </c>
      <c r="H49" s="106" t="inlineStr">
        <is>
          <t>未記入</t>
        </is>
      </c>
    </row>
    <row r="50" ht="16.5" customHeight="1">
      <c r="A50" s="117" t="n"/>
      <c r="B50" s="117" t="inlineStr">
        <is>
          <t>3-1. 労働生産性と賃上げ</t>
        </is>
      </c>
      <c r="C50" s="118" t="n"/>
      <c r="D50" s="118" t="n"/>
      <c r="E50" s="118" t="n"/>
      <c r="F50" s="119" t="n"/>
      <c r="G50" s="117" t="n"/>
      <c r="H50" s="117" t="n"/>
    </row>
    <row r="51" ht="96" customHeight="1">
      <c r="A51" s="16" t="n">
        <v>40</v>
      </c>
      <c r="B51" s="17" t="inlineStr">
        <is>
          <t>3-1 賃上げ</t>
        </is>
      </c>
      <c r="C51" s="18" t="inlineStr">
        <is>
          <t>労働生産性の向上</t>
        </is>
      </c>
      <c r="D51" s="19" t="inlineStr">
        <is>
          <t>付加価値額（営業利益＋人件費＋減価償却費）は、投資後にどう伸びる見込みですか？
各要素の年度別の見込みを教えてください。</t>
        </is>
      </c>
      <c r="E51" s="20" t="inlineStr">
        <is>
          <t>□ 営業利益の推移見込み
□ 人件費の推移見込み
□ 減価償却費（定額法 or 定率法、耐用年数）
□ 付加価値額のCAGR（目安：4%以上）</t>
        </is>
      </c>
      <c r="F51" s="105" t="n"/>
      <c r="G51" s="21" t="inlineStr">
        <is>
          <t>行46</t>
        </is>
      </c>
      <c r="H51" s="106" t="inlineStr">
        <is>
          <t>未記入</t>
        </is>
      </c>
    </row>
    <row r="52" ht="222" customHeight="1">
      <c r="A52" s="22" t="n">
        <v>41</v>
      </c>
      <c r="B52" s="17" t="inlineStr">
        <is>
          <t>3-1 賃上げ</t>
        </is>
      </c>
      <c r="C52" s="23" t="inlineStr">
        <is>
          <t>賃上げ計画</t>
        </is>
      </c>
      <c r="D52" s="24" t="inlineStr">
        <is>
          <t>従業員の給与について、基準年度の一人当たり給与支給総額はいくらですか？
今後の賃上げ計画を教えてください。</t>
        </is>
      </c>
      <c r="E52" s="20" t="inlineStr">
        <is>
          <t>□ 基準年度の一人当たり給与支給総額
□ 年平均成長率（目標値は自ら設定。3.5%以上）
□ 対象給与の定義確認（給料・賞与・課税対象の各種手当を含む。法定福利費・退職金は除く）
□ 賃上げ原資の説明方法（①定式化型「営業利益増分の○%」②方針・積算型「役員報酬据置」等）
□ 役員報酬の扱い（据置きなら従業員に厚く配分の根拠になる）
□ 都道府県最低賃金の成長率との比較
□ 未達時の返還ルール（達成率に応じ返還・成長率0以下は全額）の説明
□ 交付申請時までに従業員へ表明が必要（賃金引き上げ計画の表明書）</t>
        </is>
      </c>
      <c r="F52" s="105" t="n"/>
      <c r="G52" s="25" t="inlineStr">
        <is>
          <t>行47</t>
        </is>
      </c>
      <c r="H52" s="106" t="inlineStr">
        <is>
          <t>未記入</t>
        </is>
      </c>
    </row>
    <row r="53" ht="127.5" customHeight="1">
      <c r="A53" s="16" t="n">
        <v>42</v>
      </c>
      <c r="B53" s="17" t="inlineStr">
        <is>
          <t>3-1 賃上げ</t>
        </is>
      </c>
      <c r="C53" s="18" t="inlineStr">
        <is>
          <t>事業場内最低賃金</t>
        </is>
      </c>
      <c r="D53" s="19" t="inlineStr">
        <is>
          <t>現在の事業場内最低賃金はいくらですか？
都道府県の最低賃金との差はいくらですか？</t>
        </is>
      </c>
      <c r="E53" s="20" t="inlineStr">
        <is>
          <t>□ 現在の事業場内最低賃金（円）
□ 都道府県最低賃金（円）
□ 差額（＋30円以上が必須）
□ 毎年の改定への対応計画
□ 最低賃金引上げ特例（補助率1/2→2/3）の該当確認：2024年10月～2025年9月に「地域別最低賃金以上～2025年度改定額未満」の従業員が30%以上の月が3か月以上あるか</t>
        </is>
      </c>
      <c r="F53" s="105" t="n"/>
      <c r="G53" s="21" t="inlineStr">
        <is>
          <t>行48</t>
        </is>
      </c>
      <c r="H53" s="106" t="inlineStr">
        <is>
          <t>未記入</t>
        </is>
      </c>
    </row>
    <row r="54" ht="168" customHeight="1">
      <c r="A54" s="22" t="n">
        <v>43</v>
      </c>
      <c r="B54" s="17" t="inlineStr">
        <is>
          <t>3-1 賃上げ</t>
        </is>
      </c>
      <c r="C54" s="23" t="inlineStr">
        <is>
          <t>賃上げの好循環</t>
        </is>
      </c>
      <c r="D54" s="24" t="inlineStr">
        <is>
          <t>賃上げによって、社員の定着率や採用力にどんな効果がありますか？
賃上げを「コスト」ではなく「投資」と考えていますか？</t>
        </is>
      </c>
      <c r="E54" s="20" t="inlineStr">
        <is>
          <t>□ 賃上げ→離職率低下→採用力向上のストーリー
□ 労働分配率の推移（悪化を反転させる見せ方も有効）
□ 大幅賃上げ特例の活用検討：①給与CAGR6.0%以上＋②事業場内最低賃金を地域別最低賃金＋50円以上の水準（両方必須）
□ 特例利用時は達成に向けた具体的取組（賃金テーブル改定・評価制度等）を確認
□ 未達時は引上げ分の返還リスクがあること（無理のない水準で）</t>
        </is>
      </c>
      <c r="F54" s="105" t="n"/>
      <c r="G54" s="25" t="inlineStr">
        <is>
          <t>行49, 50</t>
        </is>
      </c>
      <c r="H54" s="107" t="inlineStr">
        <is>
          <t>未記入</t>
        </is>
      </c>
    </row>
    <row r="55" ht="16.5" customHeight="1">
      <c r="A55" s="117" t="n"/>
      <c r="B55" s="117" t="inlineStr">
        <is>
          <t>4. 財務計画（資金調達と数値計画）</t>
        </is>
      </c>
      <c r="C55" s="118" t="n"/>
      <c r="D55" s="118" t="n"/>
      <c r="E55" s="118" t="n"/>
      <c r="F55" s="119" t="n"/>
      <c r="G55" s="117" t="n"/>
      <c r="H55" s="117" t="n"/>
    </row>
    <row r="56" ht="168" customHeight="1">
      <c r="A56" s="16" t="n">
        <v>44</v>
      </c>
      <c r="B56" s="17" t="inlineStr">
        <is>
          <t>4. 財務計画</t>
        </is>
      </c>
      <c r="C56" s="18" t="inlineStr">
        <is>
          <t>資金調達</t>
        </is>
      </c>
      <c r="D56" s="19" t="inlineStr">
        <is>
          <t>投資資金はどう用意しますか？
自己資金の割合は？金融機関への相談状況は？</t>
        </is>
      </c>
      <c r="E56" s="20" t="inlineStr">
        <is>
          <t>□ 自己資金の額
□ 融資予定額
□ 補助金額（補助金入金前のつなぎ資金の手当ても確認）
□ メインバンク名
□ 融資相談の状況（自己資金で足りる場合もリスクヘッジとして相談推奨）
□ 金融機関確認書（本事業経費に1円以上の借入がある場合に必須。複数先でも代表1行分）
□ 季節資金サイクル・売掛回収時期（支払能力の説明材料）</t>
        </is>
      </c>
      <c r="F56" s="105" t="n"/>
      <c r="G56" s="21" t="inlineStr">
        <is>
          <t>行51</t>
        </is>
      </c>
      <c r="H56" s="107" t="inlineStr">
        <is>
          <t>未記入</t>
        </is>
      </c>
    </row>
    <row r="57" ht="168" customHeight="1">
      <c r="A57" s="22" t="n">
        <v>45</v>
      </c>
      <c r="B57" s="17" t="inlineStr">
        <is>
          <t>4. 財務計画</t>
        </is>
      </c>
      <c r="C57" s="23" t="inlineStr">
        <is>
          <t>売上の見込み</t>
        </is>
      </c>
      <c r="D57" s="24" t="inlineStr">
        <is>
          <t>今後3～5年の売上見込みとその根拠を教えてください。
確定している受注や取引先からの打診はありますか？</t>
        </is>
      </c>
      <c r="E57" s="20" t="inlineStr">
        <is>
          <t>□ 顧客からの確定情報（最強根拠：継続注文の確定・合意済み価格・受注済み）
□ 「新規需要の開拓を前提としない」型か（既存需要の切替・置換なら最も確実）
□ 市場成長率データ
□ 過去トレンドからの延伸
□ 年度別の成長ステップ（段階的立上げ）
□ 設備能力に対する稼働率設定（能力の5割程度に留める保守設計も有効）
□ 保守的な前提であること（意図的な保守性は明示すると信頼性向上）</t>
        </is>
      </c>
      <c r="F57" s="105" t="n"/>
      <c r="G57" s="25" t="inlineStr">
        <is>
          <t>行52</t>
        </is>
      </c>
      <c r="H57" s="106" t="inlineStr">
        <is>
          <t>未記入</t>
        </is>
      </c>
    </row>
    <row r="58" ht="96" customHeight="1">
      <c r="A58" s="16" t="n">
        <v>46</v>
      </c>
      <c r="B58" s="17" t="inlineStr">
        <is>
          <t>4. 財務計画</t>
        </is>
      </c>
      <c r="C58" s="18" t="inlineStr">
        <is>
          <t>費用の前提</t>
        </is>
      </c>
      <c r="D58" s="19" t="inlineStr">
        <is>
          <t>売上原価・人件費・その他経費の今後の見込みと前提条件を教えてください。
変動費と固定費に分けて教えてください。</t>
        </is>
      </c>
      <c r="E58" s="20" t="inlineStr">
        <is>
          <t>□ 変動費の前提（売上比率等）
□ 固定費の前提（修繕費、リース料等）
□ 人件費の前提（昇給率等）
□ 減価償却費（方法と耐用年数）</t>
        </is>
      </c>
      <c r="F58" s="105" t="n"/>
      <c r="G58" s="21" t="inlineStr">
        <is>
          <t>行53</t>
        </is>
      </c>
      <c r="H58" s="106" t="inlineStr">
        <is>
          <t>未記入</t>
        </is>
      </c>
    </row>
    <row r="59" ht="73.5" customHeight="1">
      <c r="A59" s="22" t="n">
        <v>47</v>
      </c>
      <c r="B59" s="17" t="inlineStr">
        <is>
          <t>4. 財務計画</t>
        </is>
      </c>
      <c r="C59" s="23" t="inlineStr">
        <is>
          <t>付加価値額の推移</t>
        </is>
      </c>
      <c r="D59" s="24" t="inlineStr">
        <is>
          <t>年度別の営業利益・人件費・減価償却費の推移を教えてください。
（付加価値額＝営業利益＋人件費＋減価償却費）</t>
        </is>
      </c>
      <c r="E59" s="20" t="inlineStr">
        <is>
          <t>□ 年度別の営業利益
□ 年度別の人件費総額
□ 年度別の減価償却費
□ 従業員数の増減計画
□ 4指標の整合性確認</t>
        </is>
      </c>
      <c r="F59" s="105" t="n"/>
      <c r="G59" s="25" t="inlineStr">
        <is>
          <t>行54</t>
        </is>
      </c>
      <c r="H59" s="106" t="inlineStr">
        <is>
          <t>未記入</t>
        </is>
      </c>
    </row>
    <row r="60" ht="16.5" customHeight="1">
      <c r="A60" s="117" t="n"/>
      <c r="B60" s="117" t="inlineStr">
        <is>
          <t>5. 実施体制とスケジュール</t>
        </is>
      </c>
      <c r="C60" s="118" t="n"/>
      <c r="D60" s="118" t="n"/>
      <c r="E60" s="118" t="n"/>
      <c r="F60" s="119" t="n"/>
      <c r="G60" s="117" t="n"/>
      <c r="H60" s="117" t="n"/>
    </row>
    <row r="61" ht="90" customHeight="1">
      <c r="A61" s="16" t="n">
        <v>48</v>
      </c>
      <c r="B61" s="17" t="inlineStr">
        <is>
          <t>5. 実施体制</t>
        </is>
      </c>
      <c r="C61" s="18" t="inlineStr">
        <is>
          <t>社内体制</t>
        </is>
      </c>
      <c r="D61" s="19" t="inlineStr">
        <is>
          <t>設備導入の責任者は誰ですか？実務担当者は？
各部門の役割分担を教えてください。
また、導入する設備を使いこなせる技術を持った方はいますか？</t>
        </is>
      </c>
      <c r="E61" s="20" t="inlineStr">
        <is>
          <t>□ 責任者（代表者）
□ 実務担当者
□ 各部門の役割
□ 設備を活用する技術力の有無
□ 賃上げ表明の方法</t>
        </is>
      </c>
      <c r="F61" s="105" t="n"/>
      <c r="G61" s="21" t="inlineStr">
        <is>
          <t>行55</t>
        </is>
      </c>
      <c r="H61" s="106" t="inlineStr">
        <is>
          <t>未記入</t>
        </is>
      </c>
    </row>
    <row r="62" ht="111.95" customHeight="1">
      <c r="A62" s="22" t="n">
        <v>49</v>
      </c>
      <c r="B62" s="17" t="inlineStr">
        <is>
          <t>5. 実施体制</t>
        </is>
      </c>
      <c r="C62" s="23" t="inlineStr">
        <is>
          <t>社外体制</t>
        </is>
      </c>
      <c r="D62" s="24" t="inlineStr">
        <is>
          <t>設備メーカーのサポート体制はどうですか？
認定支援機関や専門家の支援は受けていますか？</t>
        </is>
      </c>
      <c r="E62" s="20" t="inlineStr">
        <is>
          <t>□ 設備メーカーのサポート内容
□ メンテナンス契約の有無
□ 認定支援機関の関与
□ その他専門家の支援</t>
        </is>
      </c>
      <c r="F62" s="105" t="n"/>
      <c r="G62" s="25" t="inlineStr">
        <is>
          <t>行56</t>
        </is>
      </c>
      <c r="H62" s="106" t="inlineStr">
        <is>
          <t>未記入</t>
        </is>
      </c>
    </row>
    <row r="63" ht="144" customHeight="1">
      <c r="A63" s="16" t="n">
        <v>50</v>
      </c>
      <c r="B63" s="17" t="inlineStr">
        <is>
          <t>5. 実施体制</t>
        </is>
      </c>
      <c r="C63" s="18" t="inlineStr">
        <is>
          <t>運用・推進体制</t>
        </is>
      </c>
      <c r="D63" s="19" t="inlineStr">
        <is>
          <t>導入後の日常的な運用体制を教えてください。
定例会議の頻度は？進捗の確認方法は？教育計画は？</t>
        </is>
      </c>
      <c r="E63" s="20" t="inlineStr">
        <is>
          <t>□ 定例会議の頻度
□ モニタリング方法
□ 報告体制
□ 教育・訓練計画
□ マニュアル整備
□ PDCAサイクルの計画</t>
        </is>
      </c>
      <c r="F63" s="105" t="n"/>
      <c r="G63" s="21" t="inlineStr">
        <is>
          <t>行57</t>
        </is>
      </c>
      <c r="H63" s="107" t="inlineStr">
        <is>
          <t>未記入</t>
        </is>
      </c>
    </row>
    <row r="64" ht="168" customHeight="1">
      <c r="A64" s="22" t="n">
        <v>51</v>
      </c>
      <c r="B64" s="17" t="inlineStr">
        <is>
          <t>5. 実施体制</t>
        </is>
      </c>
      <c r="C64" s="23" t="inlineStr">
        <is>
          <t>スケジュール</t>
        </is>
      </c>
      <c r="D64" s="24" t="inlineStr">
        <is>
          <t>設備導入のスケジュールを教えてください。
発注から稼働開始までどれくらいかかりますか？
メーカーに納期は確認済みですか？</t>
        </is>
      </c>
      <c r="E64" s="20" t="inlineStr">
        <is>
          <t>□ 交付決定～発注の時期
□ 製作・開発の期間
□ 設置・据付の期間
□ 試運転・教育の期間
□ 本格稼働の時期
□ 18ヶ月以内（かつ採択発表から20ヶ月以内）に完了できるか
□ メーカーの納期確認結果（設備ごとの納期。納期の長い設備がクリティカルパス）
□ 交付申請は採択発表から2ヶ月以内であることの説明</t>
        </is>
      </c>
      <c r="F64" s="105" t="n"/>
      <c r="G64" s="25" t="inlineStr">
        <is>
          <t>行58</t>
        </is>
      </c>
      <c r="H64" s="107" t="inlineStr">
        <is>
          <t>未記入</t>
        </is>
      </c>
    </row>
    <row r="65" ht="111.95" customHeight="1">
      <c r="A65" s="117" t="n"/>
      <c r="B65" s="117" t="inlineStr">
        <is>
          <t>6. 米国追加関税措置の影響（該当する場合）</t>
        </is>
      </c>
      <c r="C65" s="118" t="n"/>
      <c r="D65" s="118" t="n"/>
      <c r="E65" s="118" t="n"/>
      <c r="F65" s="119" t="n"/>
      <c r="G65" s="117" t="n"/>
      <c r="H65" s="117" t="n"/>
    </row>
    <row r="66" ht="90" customHeight="1">
      <c r="A66" s="16" t="n">
        <v>52</v>
      </c>
      <c r="B66" s="17" t="inlineStr">
        <is>
          <t>6. 関税影響</t>
        </is>
      </c>
      <c r="C66" s="18" t="inlineStr">
        <is>
          <t>関税の影響</t>
        </is>
      </c>
      <c r="D66" s="19" t="inlineStr">
        <is>
          <t>米国の追加関税の影響を受けていますか？
対象品目のサプライチェーンに属していますか？
影響がある場合、具体的な数値（売上減少額、原価上昇額等）を教えてください。</t>
        </is>
      </c>
      <c r="E66" s="20" t="inlineStr">
        <is>
          <t>□ 関税措置の対象か否か
□ サプライチェーンでの位置づけ
□ 売上減少額（対前年比）
□ 原価上昇額
□ 省力化投資による相殺効果の見込み</t>
        </is>
      </c>
      <c r="F66" s="105" t="n"/>
      <c r="G66" s="21" t="inlineStr">
        <is>
          <t>行59, 60, 61, 62, 63</t>
        </is>
      </c>
      <c r="H66" s="106" t="inlineStr">
        <is>
          <t>未記入</t>
        </is>
      </c>
    </row>
    <row r="67" ht="60" customHeight="1">
      <c r="A67" s="22" t="n">
        <v>53</v>
      </c>
      <c r="B67" s="17" t="inlineStr">
        <is>
          <t>6. 関税影響</t>
        </is>
      </c>
      <c r="C67" s="23" t="inlineStr">
        <is>
          <t>サプライチェーン
波及効果</t>
        </is>
      </c>
      <c r="D67" s="24" t="inlineStr">
        <is>
          <t>御社の省力化投資は、取引先（仕入先・販売先）にも良い影響がありますか？
大企業からの支援・助言はありますか？</t>
        </is>
      </c>
      <c r="E67" s="20" t="inlineStr">
        <is>
          <t>□ 上流・下流への波及効果
□ 大企業からの支援・助言
□ 地域産業クラスターへの波及
□ 振興事業計画の有無</t>
        </is>
      </c>
      <c r="F67" s="105" t="n"/>
      <c r="G67" s="25" t="inlineStr">
        <is>
          <t>行4, 64, 65, 66</t>
        </is>
      </c>
      <c r="H67" s="107" t="inlineStr">
        <is>
          <t>未記入</t>
        </is>
      </c>
    </row>
    <row r="68" ht="16.5" customHeight="1">
      <c r="A68" s="117" t="n"/>
      <c r="B68" s="117" t="inlineStr">
        <is>
          <t>7. 補足事項（加点項目・口頭審査・減点確認）</t>
        </is>
      </c>
      <c r="C68" s="118" t="n"/>
      <c r="D68" s="118" t="n"/>
      <c r="E68" s="118" t="n"/>
      <c r="F68" s="119" t="n"/>
      <c r="G68" s="117" t="n"/>
      <c r="H68" s="117" t="n"/>
    </row>
    <row r="69" ht="289.5" customHeight="1">
      <c r="A69" s="16" t="n">
        <v>54</v>
      </c>
      <c r="B69" s="17" t="inlineStr">
        <is>
          <t>7. 補足事項</t>
        </is>
      </c>
      <c r="C69" s="18" t="inlineStr">
        <is>
          <t>加点項目の確認</t>
        </is>
      </c>
      <c r="D69" s="19" t="inlineStr">
        <is>
          <t>以下の加点項目に該当するもの、これから取得できるものはありますか？
・成長加速マッチングサービス（会員登録＋挑戦課題の登録）
・BCP（事業継続力強化計画）認定
・省力化ナビ（解決策PDFのダウンロードまで）
・えるぼし、くるみん、健康経営優良法人
・事業承継・M&amp;Aの経緯（過去3年以内）
・賃上げ実績（事業場内最低賃金の引上げ額・地域別最低賃金近辺の従業員比率）
・生産性向上支援センターの支援（生産性向上取組計画書）</t>
        </is>
      </c>
      <c r="E69" s="20" t="inlineStr">
        <is>
          <t>□ 成長加速マッチングサービス（加点3）：会員登録＋「挑戦課題」の登録まで（応募締切日時点）
□ BCP認定（加点2）：受付番号（0始まり10桁）・有効期間内か。振り返り報告・複数回認定で上乗せ
□ 省力化ナビ（加点8）：解決策PDFのダウンロードまで。申請に使うGビズIDプライムと一致必須
□ えるぼし（加点6）/くるみん（加点7）/健康経営優良法人2026（加点9）
□ 事業承継・M&amp;A（加点1）：過去3年以内。承継形態別の証憑（株式譲渡契約書等）
□ 地域別最低賃金（加点4）・事業場内最低賃金63円以上引上げ（加点5）の該当確認
□ 生産性向上支援センター利用（加点10）：よろず支援拠点に相談→計画書作成→応募時提出（時間がかかるため早めに）</t>
        </is>
      </c>
      <c r="F69" s="105" t="n"/>
      <c r="G69" s="21" t="inlineStr">
        <is>
          <t>行67</t>
        </is>
      </c>
      <c r="H69" s="106" t="inlineStr">
        <is>
          <t>未記入</t>
        </is>
      </c>
    </row>
    <row r="70" ht="154.5" customHeight="1">
      <c r="A70" s="22" t="n">
        <v>55</v>
      </c>
      <c r="B70" s="17" t="inlineStr">
        <is>
          <t>7. 補足事項</t>
        </is>
      </c>
      <c r="C70" s="23" t="inlineStr">
        <is>
          <t>口頭審査対策</t>
        </is>
      </c>
      <c r="D70" s="24" t="inlineStr">
        <is>
          <t>ソフトウェア・AI系の設備ですか？（口頭審査の可能性あり）
代表者ご自身が30分で計画を説明し、数値の質問に即答できますか？</t>
        </is>
      </c>
      <c r="E70" s="20" t="inlineStr">
        <is>
          <t>□ ソフトウェア・システム開発系か（口頭審査対象になりやすい）
□ 代表者の準備状況（計画の背景・数値根拠を即答できるか）
□ 対応できるのは事業者自身のみ（代表者・役員。社外取締役除く）
□ 同席可は役員または申請担当者欄記載の従業員1名＋通訳1名まで。支援者・コンサル同席不可
□ カメラON・写真付き身分証での本人確認・録音への対応</t>
        </is>
      </c>
      <c r="F70" s="105" t="n"/>
      <c r="G70" s="25" t="inlineStr">
        <is>
          <t>行68</t>
        </is>
      </c>
      <c r="H70" s="107" t="inlineStr">
        <is>
          <t>未記入</t>
        </is>
      </c>
    </row>
    <row r="71" ht="181.5" customHeight="1">
      <c r="A71" s="22" t="n">
        <v>56</v>
      </c>
      <c r="B71" s="17" t="inlineStr">
        <is>
          <t>7. 補足事項</t>
        </is>
      </c>
      <c r="C71" s="23" t="inlineStr">
        <is>
          <t>リスク対応・
セキュリティ</t>
        </is>
      </c>
      <c r="D71" s="24" t="inlineStr">
        <is>
          <t>計画どおりに進まない場合のリスクを考えていますか？
（設備の納入遅延、原材料高騰、効果が出ない場合など）
また、情報セキュリティの取組（SECURITY ACTION宣言など）はありますか？</t>
        </is>
      </c>
      <c r="E71" s="20" t="inlineStr">
        <is>
          <t>□ 納入遅延リスクへの備え（進捗会議・納期の長い設備の把握）
□ 原材料高騰・需要変動への備え（複数仕入先等）
□ 効果未達時の対応策（検収条件・KPIモニタリング・撤退基準）
□ 自然災害への備え（BCP）
□ IPA「SECURITY ACTION」宣言の有無・意向（二つ星が望ましい）
□ データ管理・セキュリティ教育の体制（審査項目3-cに「サイバーセキュリティ対策の状況」が明記）</t>
        </is>
      </c>
      <c r="F71" s="105" t="n"/>
      <c r="G71" s="25" t="inlineStr">
        <is>
          <t>行69</t>
        </is>
      </c>
      <c r="H71" s="106" t="inlineStr">
        <is>
          <t>未記入</t>
        </is>
      </c>
    </row>
    <row r="72" ht="127.5" customHeight="1">
      <c r="A72" s="16" t="n">
        <v>57</v>
      </c>
      <c r="B72" s="17" t="inlineStr">
        <is>
          <t>7. 補足事項</t>
        </is>
      </c>
      <c r="C72" s="18" t="inlineStr">
        <is>
          <t>減点項目の確認</t>
        </is>
      </c>
      <c r="D72" s="19" t="inlineStr">
        <is>
          <t>過去に中小企業庁の補助金で「賃上げ加点」を受けたのに未達だったことはありますか？
他の補助金と重複していませんか？</t>
        </is>
      </c>
      <c r="E72" s="20" t="inlineStr">
        <is>
          <t>□ 過去の補助金での賃上げ加点未達の有無
□ 他補助金との重複確認
□ 事業承継の経緯
□ 過去5年以内に補助事業関連の法令違反がないか（第7回から確認範囲が拡大）
□ 経産省・中小機構所管の補助金・給付金での不正がないか（第7回から対象外要件に追加）</t>
        </is>
      </c>
      <c r="F72" s="105" t="n"/>
      <c r="G72" s="21" t="inlineStr">
        <is>
          <t>行70</t>
        </is>
      </c>
      <c r="H72" s="106" t="inlineStr">
        <is>
          <t>未記入</t>
        </is>
      </c>
    </row>
  </sheetData>
  <mergeCells count="14">
    <mergeCell ref="B65:F65"/>
    <mergeCell ref="B68:F68"/>
    <mergeCell ref="B43:F43"/>
    <mergeCell ref="B29:F29"/>
    <mergeCell ref="B39:F39"/>
    <mergeCell ref="B55:F55"/>
    <mergeCell ref="B2:F2"/>
    <mergeCell ref="B34:F34"/>
    <mergeCell ref="B25:F25"/>
    <mergeCell ref="B60:F60"/>
    <mergeCell ref="B22:F22"/>
    <mergeCell ref="B14:F14"/>
    <mergeCell ref="B50:F50"/>
    <mergeCell ref="B8:F8"/>
  </mergeCells>
  <pageMargins left="0.3" right="0.3" top="0.3" bottom="0.3" header="0.5" footer="0.5"/>
  <pageSetup orientation="landscape" paperSize="8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7"/>
  <sheetViews>
    <sheetView tabSelected="1" topLeftCell="A4" zoomScaleNormal="100" workbookViewId="0">
      <selection activeCell="L27" sqref="L27"/>
    </sheetView>
  </sheetViews>
  <sheetFormatPr baseColWidth="8" defaultColWidth="8.7265625" defaultRowHeight="13"/>
  <cols>
    <col width="1.125" customWidth="1" style="30" min="1" max="1"/>
    <col width="3.875" customWidth="1" style="30" min="2" max="2"/>
    <col width="25.125" customWidth="1" style="30" min="3" max="3"/>
    <col width="21.25" customWidth="1" style="30" min="4" max="4"/>
    <col hidden="1" width="16.5" customWidth="1" style="30" min="5" max="5"/>
    <col hidden="1" width="18.125" customWidth="1" style="30" min="6" max="6"/>
    <col width="10.375" customWidth="1" style="30" min="7" max="7"/>
    <col width="3.875" customWidth="1" style="30" min="8" max="8"/>
    <col width="25.125" customWidth="1" style="30" min="9" max="9"/>
    <col width="14.25" bestFit="1" customWidth="1" style="30" min="10" max="10"/>
    <col width="19.5" customWidth="1" style="30" min="11" max="12"/>
    <col width="12" customWidth="1" style="30" min="13" max="13"/>
    <col hidden="1" width="18.125" customWidth="1" style="30" min="14" max="14"/>
    <col hidden="1" width="3.25" customWidth="1" style="30" min="15" max="15"/>
    <col hidden="1" width="21.875" customWidth="1" style="30" min="16" max="16"/>
    <col width="8.75" customWidth="1" style="30" min="17" max="17"/>
    <col width="8.75" customWidth="1" style="30" min="18" max="16384"/>
  </cols>
  <sheetData>
    <row r="1">
      <c r="A1" s="26" t="n"/>
      <c r="B1" s="27" t="inlineStr">
        <is>
          <t>（別紙１）省力化計算シート</t>
        </is>
      </c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</row>
    <row r="2" ht="13.5" customHeight="1" thickBot="1">
      <c r="D2" s="124" t="n"/>
      <c r="E2" s="124" t="n"/>
      <c r="F2" s="124" t="n"/>
      <c r="J2" s="124" t="n"/>
      <c r="N2" s="124" t="n"/>
      <c r="O2" s="124" t="n"/>
    </row>
    <row r="3" ht="24.6" customHeight="1" thickBot="1">
      <c r="B3" s="30" t="n"/>
      <c r="C3" s="125" t="inlineStr">
        <is>
          <t>設備導入により削減される
業務に要していた時間</t>
        </is>
      </c>
      <c r="D3" s="126">
        <f>(SUMIF(C11:C40,"&lt;&gt;",D11:D40)-SUMIF(E11:E40,"&lt;&gt;-",D11:D40)-SUMIF(F11:F40,"&lt;0"))/60</f>
        <v/>
      </c>
      <c r="E3" s="127" t="n"/>
      <c r="F3" s="127" t="n"/>
      <c r="G3" s="121" t="inlineStr">
        <is>
          <t>時間</t>
        </is>
      </c>
      <c r="H3" s="30" t="n"/>
      <c r="I3" s="125" t="inlineStr">
        <is>
          <t>設備導入後に発生する
業務に要する時間</t>
        </is>
      </c>
      <c r="J3" s="128">
        <f>(SUMIF(I11:I40,"&lt;&gt;",J11:J40)-SUMIF(N11:N40,"&lt;&gt;-",J11:J40)+SUMIF(N11:N40,"&gt;0"))/60</f>
        <v/>
      </c>
      <c r="K3" s="121" t="inlineStr">
        <is>
          <t>時間</t>
        </is>
      </c>
      <c r="L3" s="35" t="inlineStr">
        <is>
          <t>省力化指数</t>
        </is>
      </c>
      <c r="M3" s="129">
        <f>IF(D3=0,0,IF((D3-J3)/D3&lt;0,0,(D3-J3)/D3))</f>
        <v/>
      </c>
      <c r="N3" s="37" t="n"/>
      <c r="O3" s="37" t="n"/>
    </row>
    <row r="4"/>
    <row r="5">
      <c r="B5" s="38" t="inlineStr">
        <is>
          <t>■設備導入前の業務プロセス・作業工程</t>
        </is>
      </c>
      <c r="C5" s="39" t="n"/>
      <c r="D5" s="39" t="n"/>
      <c r="G5" s="40" t="n"/>
      <c r="H5" s="41" t="inlineStr">
        <is>
          <t>■設備導入後の業務プロセス・作業工程</t>
        </is>
      </c>
      <c r="I5" s="42" t="n"/>
      <c r="J5" s="42" t="n"/>
      <c r="K5" s="42" t="n"/>
      <c r="L5" s="42" t="n"/>
      <c r="M5" s="42" t="n"/>
      <c r="N5" s="37" t="n"/>
      <c r="O5" s="37" t="n"/>
    </row>
    <row r="6">
      <c r="B6" s="43" t="n"/>
      <c r="D6" s="44" t="n"/>
      <c r="E6" s="44" t="n"/>
      <c r="F6" s="44" t="n"/>
      <c r="H6" s="43" t="n"/>
      <c r="J6" s="45" t="n"/>
    </row>
    <row r="7">
      <c r="B7" s="46" t="n"/>
      <c r="C7" s="47" t="inlineStr">
        <is>
          <t>設備導入前の作業時間合計</t>
        </is>
      </c>
      <c r="D7" s="130">
        <f>SUMIF(C11:C40,"&lt;&gt;",D11:D40)/60</f>
        <v/>
      </c>
      <c r="E7" s="131" t="n"/>
      <c r="F7" s="131" t="n"/>
      <c r="G7" s="43" t="inlineStr">
        <is>
          <t>時間</t>
        </is>
      </c>
      <c r="I7" s="50" t="inlineStr">
        <is>
          <t>設備導入後の作業時間合計</t>
        </is>
      </c>
      <c r="J7" s="130">
        <f>SUMIF(I11:I40,"&lt;&gt;",J11:J40)/60</f>
        <v/>
      </c>
      <c r="K7" s="121" t="inlineStr">
        <is>
          <t>時間</t>
        </is>
      </c>
      <c r="L7" s="131" t="n"/>
    </row>
    <row r="8">
      <c r="B8" s="46" t="n"/>
      <c r="C8" s="50" t="n"/>
      <c r="D8" s="132" t="n"/>
      <c r="E8" s="131" t="n"/>
      <c r="F8" s="131" t="n"/>
      <c r="G8" s="43" t="n"/>
      <c r="I8" s="50" t="n"/>
      <c r="J8" s="132" t="n"/>
      <c r="L8" s="131" t="n"/>
    </row>
    <row r="9">
      <c r="C9" s="43" t="n"/>
      <c r="D9" s="52" t="n"/>
      <c r="E9" s="53" t="n"/>
      <c r="F9" s="53" t="n"/>
      <c r="G9" s="53" t="n"/>
      <c r="H9" s="53" t="n"/>
      <c r="I9" s="53" t="n"/>
      <c r="J9" s="54" t="n"/>
      <c r="K9" s="55" t="n"/>
      <c r="L9" s="55" t="n"/>
    </row>
    <row r="10" ht="24.6" customHeight="1" thickBot="1">
      <c r="B10" s="56" t="inlineStr">
        <is>
          <t>No.</t>
        </is>
      </c>
      <c r="C10" s="57" t="inlineStr">
        <is>
          <t>工程名・作業名</t>
        </is>
      </c>
      <c r="D10" s="58" t="inlineStr">
        <is>
          <t>作業時間（分）</t>
        </is>
      </c>
      <c r="E10" s="59" t="inlineStr">
        <is>
          <t>対応する導入後の
業務プロセスNo</t>
        </is>
      </c>
      <c r="F10" s="60" t="inlineStr">
        <is>
          <t>同工程差分時間（分）</t>
        </is>
      </c>
      <c r="H10" s="61" t="inlineStr">
        <is>
          <t>No.</t>
        </is>
      </c>
      <c r="I10" s="62" t="inlineStr">
        <is>
          <t>工程名・作業名</t>
        </is>
      </c>
      <c r="J10" s="63" t="inlineStr">
        <is>
          <t>作業時間（分）</t>
        </is>
      </c>
      <c r="K10" s="64" t="inlineStr">
        <is>
          <t>作業種別</t>
        </is>
      </c>
      <c r="L10" s="65" t="inlineStr">
        <is>
          <t>対応する設備導入前の
業務プロセスNo.</t>
        </is>
      </c>
      <c r="N10" s="66" t="inlineStr">
        <is>
          <t>同工程差分時間（分）</t>
        </is>
      </c>
      <c r="P10" s="66" t="inlineStr">
        <is>
          <t>作業種別選択肢</t>
        </is>
      </c>
    </row>
    <row r="11">
      <c r="B11" s="67" t="n">
        <v>1</v>
      </c>
      <c r="C11" s="68" t="n"/>
      <c r="D11" s="69" t="n"/>
      <c r="E11" s="70">
        <f>IF(OR(C11="",D11=""),"-",IF(IFERROR(MATCH(B11,L$11:L$40,0),"")="","-",IF(OR(INDEX(I$11:I$40,MATCH(B11,L$11:L$40,0))="",INDEX(J$11:J$40,MATCH(B11,L$11:L$40,0))="",INDEX(K$11:K$40,MATCH(B11,L$11:L$40,0))&lt;&gt;"内容は変化しない作業"),"-",MATCH(B11,L$11:L$40,0))))</f>
        <v/>
      </c>
      <c r="F11" s="71">
        <f t="array" ref="F11">IF(E11="-","-",IF(AND(C11&lt;&gt;"",D11&gt;0,INDEX(K$11:K$40,E11)="内容は変化しない作業",AND(E11&lt;&gt;"-",E11&lt;&gt;""),INDEX(I$11:I$40,E11)&lt;&gt;"",INDEX(J$11:J$40,E11)&lt;&gt;""),INDEX(J$11:J$40,E11)-D11,"-"))</f>
        <v/>
      </c>
      <c r="G11" s="72" t="n"/>
      <c r="H11" s="73" t="n">
        <v>1</v>
      </c>
      <c r="I11" s="74" t="n"/>
      <c r="J11" s="75" t="n"/>
      <c r="K11" s="76" t="n"/>
      <c r="L11" s="77" t="n"/>
      <c r="N11" s="78">
        <f t="array" ref="N11">IF(AND(I11&lt;&gt;"",J11&gt;0,K11="内容は変化しない作業",L11&gt;0,INDEX(C$11:C$40,L11)&lt;&gt;"",INDEX(D$11:D$40,L11)&lt;&gt;""),J11-INDEX(D$11:D$40,L11),"-")</f>
        <v/>
      </c>
      <c r="O11" s="30" t="n"/>
      <c r="P11" s="79" t="inlineStr">
        <is>
          <t>新たに追加される作業</t>
        </is>
      </c>
    </row>
    <row r="12">
      <c r="B12" s="80" t="n">
        <v>2</v>
      </c>
      <c r="C12" s="81" t="n"/>
      <c r="D12" s="82" t="n"/>
      <c r="E12" s="70">
        <f>IF(OR(C12="",D12=""),"-",IF(IFERROR(MATCH(B12,L$11:L$40,0),"")="","-",IF(OR(INDEX(I$11:I$40,MATCH(B12,L$11:L$40,0))="",INDEX(J$11:J$40,MATCH(B12,L$11:L$40,0))="",INDEX(K$11:K$40,MATCH(B12,L$11:L$40,0))&lt;&gt;"内容は変化しない作業"),"-",MATCH(B12,L$11:L$40,0))))</f>
        <v/>
      </c>
      <c r="F12" s="71">
        <f t="array" ref="F12">IF(E12="-","-",IF(AND(C12&lt;&gt;"",D12&gt;0,INDEX(K$11:K$40,E12)="内容は変化しない作業",AND(E12&lt;&gt;"-",E12&lt;&gt;""),INDEX(I$11:I$40,E12)&lt;&gt;"",INDEX(J$11:J$40,E12)&lt;&gt;""),INDEX(J$11:J$40,E12)-D12,"-"))</f>
        <v/>
      </c>
      <c r="H12" s="83" t="n">
        <v>2</v>
      </c>
      <c r="I12" s="84" t="n"/>
      <c r="J12" s="85" t="n"/>
      <c r="K12" s="86" t="n"/>
      <c r="L12" s="87" t="n"/>
      <c r="N12" s="78">
        <f t="array" ref="N12">IF(AND(I12&lt;&gt;"",J12&gt;0,K12="内容は変化しない作業",L12&gt;0,INDEX(C$11:C$40,L12)&lt;&gt;"",INDEX(D$11:D$40,L12)&lt;&gt;""),J12-INDEX(D$11:D$40,L12),"-")</f>
        <v/>
      </c>
      <c r="O12" s="30" t="n"/>
      <c r="P12" s="79" t="inlineStr">
        <is>
          <t>内容は変化しない作業</t>
        </is>
      </c>
    </row>
    <row r="13">
      <c r="B13" s="67" t="n">
        <v>3</v>
      </c>
      <c r="C13" s="81" t="n"/>
      <c r="D13" s="82" t="n"/>
      <c r="E13" s="70">
        <f>IF(OR(C13="",D13=""),"-",IF(IFERROR(MATCH(B13,L$11:L$40,0),"")="","-",IF(OR(INDEX(I$11:I$40,MATCH(B13,L$11:L$40,0))="",INDEX(J$11:J$40,MATCH(B13,L$11:L$40,0))="",INDEX(K$11:K$40,MATCH(B13,L$11:L$40,0))&lt;&gt;"内容は変化しない作業"),"-",MATCH(B13,L$11:L$40,0))))</f>
        <v/>
      </c>
      <c r="F13" s="71">
        <f t="array" ref="F13">IF(E13="-","-",IF(AND(C13&lt;&gt;"",D13&gt;0,INDEX(K$11:K$40,E13)="内容は変化しない作業",AND(E13&lt;&gt;"-",E13&lt;&gt;""),INDEX(I$11:I$40,E13)&lt;&gt;"",INDEX(J$11:J$40,E13)&lt;&gt;""),INDEX(J$11:J$40,E13)-D13,"-"))</f>
        <v/>
      </c>
      <c r="H13" s="88" t="n">
        <v>3</v>
      </c>
      <c r="I13" s="89" t="n"/>
      <c r="J13" s="90" t="n"/>
      <c r="K13" s="91" t="n"/>
      <c r="L13" s="92" t="n"/>
      <c r="N13" s="78">
        <f t="array" ref="N13">IF(AND(I13&lt;&gt;"",J13&gt;0,K13="内容は変化しない作業",L13&gt;0,INDEX(C$11:C$40,L13)&lt;&gt;"",INDEX(D$11:D$40,L13)&lt;&gt;""),J13-INDEX(D$11:D$40,L13),"-")</f>
        <v/>
      </c>
      <c r="O13" s="30" t="n"/>
      <c r="P13" s="79" t="n"/>
    </row>
    <row r="14">
      <c r="B14" s="67" t="n">
        <v>4</v>
      </c>
      <c r="C14" s="81" t="n"/>
      <c r="D14" s="82" t="n"/>
      <c r="E14" s="70">
        <f>IF(OR(C14="",D14=""),"-",IF(IFERROR(MATCH(B14,L$11:L$40,0),"")="","-",IF(OR(INDEX(I$11:I$40,MATCH(B14,L$11:L$40,0))="",INDEX(J$11:J$40,MATCH(B14,L$11:L$40,0))="",INDEX(K$11:K$40,MATCH(B14,L$11:L$40,0))&lt;&gt;"内容は変化しない作業"),"-",MATCH(B14,L$11:L$40,0))))</f>
        <v/>
      </c>
      <c r="F14" s="71">
        <f t="array" ref="F14">IF(E14="-","-",IF(AND(C14&lt;&gt;"",D14&gt;0,INDEX(K$11:K$40,E14)="内容は変化しない作業",AND(E14&lt;&gt;"-",E14&lt;&gt;""),INDEX(I$11:I$40,E14)&lt;&gt;"",INDEX(J$11:J$40,E14)&lt;&gt;""),INDEX(J$11:J$40,E14)-D14,"-"))</f>
        <v/>
      </c>
      <c r="H14" s="88" t="n">
        <v>4</v>
      </c>
      <c r="I14" s="89" t="n"/>
      <c r="J14" s="90" t="n"/>
      <c r="K14" s="91" t="n"/>
      <c r="L14" s="87" t="n"/>
      <c r="N14" s="78">
        <f t="array" ref="N14">IF(AND(I14&lt;&gt;"",J14&gt;0,K14="内容は変化しない作業",L14&gt;0,INDEX(C$11:C$40,L14)&lt;&gt;"",INDEX(D$11:D$40,L14)&lt;&gt;""),J14-INDEX(D$11:D$40,L14),"-")</f>
        <v/>
      </c>
      <c r="O14" s="30" t="n"/>
    </row>
    <row r="15">
      <c r="B15" s="67" t="n">
        <v>5</v>
      </c>
      <c r="C15" s="81" t="n"/>
      <c r="D15" s="82" t="n"/>
      <c r="E15" s="70">
        <f>IF(OR(C15="",D15=""),"-",IF(IFERROR(MATCH(B15,L$11:L$40,0),"")="","-",IF(OR(INDEX(I$11:I$40,MATCH(B15,L$11:L$40,0))="",INDEX(J$11:J$40,MATCH(B15,L$11:L$40,0))="",INDEX(K$11:K$40,MATCH(B15,L$11:L$40,0))&lt;&gt;"内容は変化しない作業"),"-",MATCH(B15,L$11:L$40,0))))</f>
        <v/>
      </c>
      <c r="F15" s="71">
        <f t="array" ref="F15">IF(E15="-","-",IF(AND(C15&lt;&gt;"",D15&gt;0,INDEX(K$11:K$40,E15)="内容は変化しない作業",AND(E15&lt;&gt;"-",E15&lt;&gt;""),INDEX(I$11:I$40,E15)&lt;&gt;"",INDEX(J$11:J$40,E15)&lt;&gt;""),INDEX(J$11:J$40,E15)-D15,"-"))</f>
        <v/>
      </c>
      <c r="H15" s="83" t="n">
        <v>5</v>
      </c>
      <c r="I15" s="84" t="n"/>
      <c r="J15" s="85" t="n"/>
      <c r="K15" s="91" t="n"/>
      <c r="L15" s="87" t="n"/>
      <c r="N15" s="78">
        <f t="array" ref="N15">IF(AND(I15&lt;&gt;"",J15&gt;0,K15="内容は変化しない作業",L15&gt;0,INDEX(C$11:C$40,L15)&lt;&gt;"",INDEX(D$11:D$40,L15)&lt;&gt;""),J15-INDEX(D$11:D$40,L15),"-")</f>
        <v/>
      </c>
      <c r="O15" s="30" t="n"/>
    </row>
    <row r="16">
      <c r="B16" s="83" t="n">
        <v>6</v>
      </c>
      <c r="C16" s="93" t="n"/>
      <c r="D16" s="94" t="n"/>
      <c r="E16" s="70">
        <f>IF(OR(C16="",D16=""),"-",IF(IFERROR(MATCH(B16,L$11:L$40,0),"")="","-",IF(OR(INDEX(I$11:I$40,MATCH(B16,L$11:L$40,0))="",INDEX(J$11:J$40,MATCH(B16,L$11:L$40,0))="",INDEX(K$11:K$40,MATCH(B16,L$11:L$40,0))&lt;&gt;"内容は変化しない作業"),"-",MATCH(B16,L$11:L$40,0))))</f>
        <v/>
      </c>
      <c r="F16" s="71">
        <f t="array" ref="F16">IF(E16="-","-",IF(AND(C16&lt;&gt;"",D16&gt;0,INDEX(K$11:K$40,E16)="内容は変化しない作業",AND(E16&lt;&gt;"-",E16&lt;&gt;""),INDEX(I$11:I$40,E16)&lt;&gt;"",INDEX(J$11:J$40,E16)&lt;&gt;""),INDEX(J$11:J$40,E16)-D16,"-"))</f>
        <v/>
      </c>
      <c r="H16" s="88" t="n">
        <v>6</v>
      </c>
      <c r="I16" s="89" t="n"/>
      <c r="J16" s="90" t="n"/>
      <c r="K16" s="91" t="n"/>
      <c r="L16" s="87" t="n"/>
      <c r="N16" s="78">
        <f t="array" ref="N16">IF(AND(I16&lt;&gt;"",J16&gt;0,K16="内容は変化しない作業",L16&gt;0,INDEX(C$11:C$40,L16)&lt;&gt;"",INDEX(D$11:D$40,L16)&lt;&gt;""),J16-INDEX(D$11:D$40,L16),"-")</f>
        <v/>
      </c>
      <c r="O16" s="30" t="n"/>
    </row>
    <row r="17">
      <c r="B17" s="67" t="n">
        <v>7</v>
      </c>
      <c r="C17" s="81" t="n"/>
      <c r="D17" s="82" t="n"/>
      <c r="E17" s="70">
        <f>IF(OR(C17="",D17=""),"-",IF(IFERROR(MATCH(B17,L$11:L$40,0),"")="","-",IF(OR(INDEX(I$11:I$40,MATCH(B17,L$11:L$40,0))="",INDEX(J$11:J$40,MATCH(B17,L$11:L$40,0))="",INDEX(K$11:K$40,MATCH(B17,L$11:L$40,0))&lt;&gt;"内容は変化しない作業"),"-",MATCH(B17,L$11:L$40,0))))</f>
        <v/>
      </c>
      <c r="F17" s="71">
        <f t="array" ref="F17">IF(E17="-","-",IF(AND(C17&lt;&gt;"",D17&gt;0,INDEX(K$11:K$40,E17)="内容は変化しない作業",AND(E17&lt;&gt;"-",E17&lt;&gt;""),INDEX(I$11:I$40,E17)&lt;&gt;"",INDEX(J$11:J$40,E17)&lt;&gt;""),INDEX(J$11:J$40,E17)-D17,"-"))</f>
        <v/>
      </c>
      <c r="H17" s="88" t="n">
        <v>7</v>
      </c>
      <c r="I17" s="89" t="n"/>
      <c r="J17" s="90" t="n"/>
      <c r="K17" s="91" t="n"/>
      <c r="L17" s="87" t="n"/>
      <c r="N17" s="78">
        <f t="array" ref="N17">IF(AND(I17&lt;&gt;"",J17&gt;0,K17="内容は変化しない作業",L17&gt;0,INDEX(C$11:C$40,L17)&lt;&gt;"",INDEX(D$11:D$40,L17)&lt;&gt;""),J17-INDEX(D$11:D$40,L17),"-")</f>
        <v/>
      </c>
      <c r="O17" s="30" t="n"/>
    </row>
    <row r="18">
      <c r="B18" s="67" t="n">
        <v>8</v>
      </c>
      <c r="C18" s="81" t="n"/>
      <c r="D18" s="82" t="n"/>
      <c r="E18" s="70">
        <f>IF(OR(C18="",D18=""),"-",IF(IFERROR(MATCH(B18,L$11:L$40,0),"")="","-",IF(OR(INDEX(I$11:I$40,MATCH(B18,L$11:L$40,0))="",INDEX(J$11:J$40,MATCH(B18,L$11:L$40,0))="",INDEX(K$11:K$40,MATCH(B18,L$11:L$40,0))&lt;&gt;"内容は変化しない作業"),"-",MATCH(B18,L$11:L$40,0))))</f>
        <v/>
      </c>
      <c r="F18" s="71">
        <f t="array" ref="F18">IF(E18="-","-",IF(AND(C18&lt;&gt;"",D18&gt;0,INDEX(K$11:K$40,E18)="内容は変化しない作業",AND(E18&lt;&gt;"-",E18&lt;&gt;""),INDEX(I$11:I$40,E18)&lt;&gt;"",INDEX(J$11:J$40,E18)&lt;&gt;""),INDEX(J$11:J$40,E18)-D18,"-"))</f>
        <v/>
      </c>
      <c r="H18" s="88" t="n">
        <v>8</v>
      </c>
      <c r="I18" s="89" t="n"/>
      <c r="J18" s="90" t="n"/>
      <c r="K18" s="91" t="n"/>
      <c r="L18" s="87" t="n"/>
      <c r="N18" s="78">
        <f t="array" ref="N18">IF(AND(I18&lt;&gt;"",J18&gt;0,K18="内容は変化しない作業",L18&gt;0,INDEX(C$11:C$40,L18)&lt;&gt;"",INDEX(D$11:D$40,L18)&lt;&gt;""),J18-INDEX(D$11:D$40,L18),"-")</f>
        <v/>
      </c>
      <c r="O18" s="30" t="n"/>
    </row>
    <row r="19">
      <c r="B19" s="67" t="n">
        <v>9</v>
      </c>
      <c r="C19" s="81" t="n"/>
      <c r="D19" s="82" t="n"/>
      <c r="E19" s="70">
        <f>IF(OR(C19="",D19=""),"-",IF(IFERROR(MATCH(B19,L$11:L$40,0),"")="","-",IF(OR(INDEX(I$11:I$40,MATCH(B19,L$11:L$40,0))="",INDEX(J$11:J$40,MATCH(B19,L$11:L$40,0))="",INDEX(K$11:K$40,MATCH(B19,L$11:L$40,0))&lt;&gt;"内容は変化しない作業"),"-",MATCH(B19,L$11:L$40,0))))</f>
        <v/>
      </c>
      <c r="F19" s="71">
        <f t="array" ref="F19">IF(E19="-","-",IF(AND(C19&lt;&gt;"",D19&gt;0,INDEX(K$11:K$40,E19)="内容は変化しない作業",AND(E19&lt;&gt;"-",E19&lt;&gt;""),INDEX(I$11:I$40,E19)&lt;&gt;"",INDEX(J$11:J$40,E19)&lt;&gt;""),INDEX(J$11:J$40,E19)-D19,"-"))</f>
        <v/>
      </c>
      <c r="H19" s="88" t="n">
        <v>9</v>
      </c>
      <c r="I19" s="89" t="n"/>
      <c r="J19" s="90" t="n"/>
      <c r="K19" s="91" t="n"/>
      <c r="L19" s="87" t="n"/>
      <c r="N19" s="78">
        <f t="array" ref="N19">IF(AND(I19&lt;&gt;"",J19&gt;0,K19="内容は変化しない作業",L19&gt;0,INDEX(C$11:C$40,L19)&lt;&gt;"",INDEX(D$11:D$40,L19)&lt;&gt;""),J19-INDEX(D$11:D$40,L19),"-")</f>
        <v/>
      </c>
      <c r="O19" s="30" t="n"/>
    </row>
    <row r="20">
      <c r="B20" s="67" t="n">
        <v>10</v>
      </c>
      <c r="C20" s="81" t="n"/>
      <c r="D20" s="82" t="n"/>
      <c r="E20" s="70">
        <f>IF(OR(C20="",D20=""),"-",IF(IFERROR(MATCH(B20,L$11:L$40,0),"")="","-",IF(OR(INDEX(I$11:I$40,MATCH(B20,L$11:L$40,0))="",INDEX(J$11:J$40,MATCH(B20,L$11:L$40,0))="",INDEX(K$11:K$40,MATCH(B20,L$11:L$40,0))&lt;&gt;"内容は変化しない作業"),"-",MATCH(B20,L$11:L$40,0))))</f>
        <v/>
      </c>
      <c r="F20" s="71">
        <f t="array" ref="F20">IF(E20="-","-",IF(AND(C20&lt;&gt;"",D20&gt;0,INDEX(K$11:K$40,E20)="内容は変化しない作業",AND(E20&lt;&gt;"-",E20&lt;&gt;""),INDEX(I$11:I$40,E20)&lt;&gt;"",INDEX(J$11:J$40,E20)&lt;&gt;""),INDEX(J$11:J$40,E20)-D20,"-"))</f>
        <v/>
      </c>
      <c r="H20" s="88" t="n">
        <v>10</v>
      </c>
      <c r="I20" s="89" t="n"/>
      <c r="J20" s="90" t="n"/>
      <c r="K20" s="91" t="n"/>
      <c r="L20" s="87" t="n"/>
      <c r="N20" s="78">
        <f t="array" ref="N20">IF(AND(I20&lt;&gt;"",J20&gt;0,K20="内容は変化しない作業",L20&gt;0,INDEX(C$11:C$40,L20)&lt;&gt;"",INDEX(D$11:D$40,L20)&lt;&gt;""),J20-INDEX(D$11:D$40,L20),"-")</f>
        <v/>
      </c>
      <c r="O20" s="30" t="n"/>
    </row>
    <row r="21">
      <c r="B21" s="67" t="n">
        <v>11</v>
      </c>
      <c r="C21" s="81" t="n"/>
      <c r="D21" s="82" t="n"/>
      <c r="E21" s="70">
        <f>IF(OR(C21="",D21=""),"-",IF(IFERROR(MATCH(B21,L$11:L$40,0),"")="","-",IF(OR(INDEX(I$11:I$40,MATCH(B21,L$11:L$40,0))="",INDEX(J$11:J$40,MATCH(B21,L$11:L$40,0))="",INDEX(K$11:K$40,MATCH(B21,L$11:L$40,0))&lt;&gt;"内容は変化しない作業"),"-",MATCH(B21,L$11:L$40,0))))</f>
        <v/>
      </c>
      <c r="F21" s="71">
        <f t="array" ref="F21">IF(E21="-","-",IF(AND(C21&lt;&gt;"",D21&gt;0,INDEX(K$11:K$40,E21)="内容は変化しない作業",AND(E21&lt;&gt;"-",E21&lt;&gt;""),INDEX(I$11:I$40,E21)&lt;&gt;"",INDEX(J$11:J$40,E21)&lt;&gt;""),INDEX(J$11:J$40,E21)-D21,"-"))</f>
        <v/>
      </c>
      <c r="H21" s="88" t="n">
        <v>11</v>
      </c>
      <c r="I21" s="89" t="n"/>
      <c r="J21" s="90" t="n"/>
      <c r="K21" s="91" t="n"/>
      <c r="L21" s="87" t="n"/>
      <c r="N21" s="78">
        <f t="array" ref="N21">IF(AND(I21&lt;&gt;"",J21&gt;0,K21="内容は変化しない作業",L21&gt;0,INDEX(C$11:C$40,L21)&lt;&gt;"",INDEX(D$11:D$40,L21)&lt;&gt;""),J21-INDEX(D$11:D$40,L21),"-")</f>
        <v/>
      </c>
      <c r="O21" s="30" t="n"/>
    </row>
    <row r="22">
      <c r="B22" s="88" t="n">
        <v>12</v>
      </c>
      <c r="C22" s="95" t="n"/>
      <c r="D22" s="96" t="n"/>
      <c r="E22" s="70">
        <f>IF(OR(C22="",D22=""),"-",IF(IFERROR(MATCH(B22,L$11:L$40,0),"")="","-",IF(OR(INDEX(I$11:I$40,MATCH(B22,L$11:L$40,0))="",INDEX(J$11:J$40,MATCH(B22,L$11:L$40,0))="",INDEX(K$11:K$40,MATCH(B22,L$11:L$40,0))&lt;&gt;"内容は変化しない作業"),"-",MATCH(B22,L$11:L$40,0))))</f>
        <v/>
      </c>
      <c r="F22" s="71">
        <f t="array" ref="F22">IF(E22="-","-",IF(AND(C22&lt;&gt;"",D22&gt;0,INDEX(K$11:K$40,E22)="内容は変化しない作業",AND(E22&lt;&gt;"-",E22&lt;&gt;""),INDEX(I$11:I$40,E22)&lt;&gt;"",INDEX(J$11:J$40,E22)&lt;&gt;""),INDEX(J$11:J$40,E22)-D22,"-"))</f>
        <v/>
      </c>
      <c r="H22" s="88" t="n">
        <v>12</v>
      </c>
      <c r="I22" s="89" t="n"/>
      <c r="J22" s="90" t="n"/>
      <c r="K22" s="91" t="n"/>
      <c r="L22" s="87" t="n"/>
      <c r="N22" s="78">
        <f t="array" ref="N22">IF(AND(I22&lt;&gt;"",J22&gt;0,K22="内容は変化しない作業",L22&gt;0,INDEX(C$11:C$40,L22)&lt;&gt;"",INDEX(D$11:D$40,L22)&lt;&gt;""),J22-INDEX(D$11:D$40,L22),"-")</f>
        <v/>
      </c>
      <c r="O22" s="30" t="n"/>
    </row>
    <row r="23">
      <c r="B23" s="88" t="n">
        <v>13</v>
      </c>
      <c r="C23" s="95" t="n"/>
      <c r="D23" s="96" t="n"/>
      <c r="E23" s="70">
        <f>IF(OR(C23="",D23=""),"-",IF(IFERROR(MATCH(B23,L$11:L$40,0),"")="","-",IF(OR(INDEX(I$11:I$40,MATCH(B23,L$11:L$40,0))="",INDEX(J$11:J$40,MATCH(B23,L$11:L$40,0))="",INDEX(K$11:K$40,MATCH(B23,L$11:L$40,0))&lt;&gt;"内容は変化しない作業"),"-",MATCH(B23,L$11:L$40,0))))</f>
        <v/>
      </c>
      <c r="F23" s="71">
        <f t="array" ref="F23">IF(E23="-","-",IF(AND(C23&lt;&gt;"",D23&gt;0,INDEX(K$11:K$40,E23)="内容は変化しない作業",AND(E23&lt;&gt;"-",E23&lt;&gt;""),INDEX(I$11:I$40,E23)&lt;&gt;"",INDEX(J$11:J$40,E23)&lt;&gt;""),INDEX(J$11:J$40,E23)-D23,"-"))</f>
        <v/>
      </c>
      <c r="H23" s="88" t="n">
        <v>13</v>
      </c>
      <c r="I23" s="89" t="n"/>
      <c r="J23" s="90" t="n"/>
      <c r="K23" s="91" t="n"/>
      <c r="L23" s="87" t="n"/>
      <c r="N23" s="78">
        <f t="array" ref="N23">IF(AND(I23&lt;&gt;"",J23&gt;0,K23="内容は変化しない作業",L23&gt;0,INDEX(C$11:C$40,L23)&lt;&gt;"",INDEX(D$11:D$40,L23)&lt;&gt;""),J23-INDEX(D$11:D$40,L23),"-")</f>
        <v/>
      </c>
      <c r="O23" s="30" t="n"/>
    </row>
    <row r="24">
      <c r="B24" s="88" t="n">
        <v>14</v>
      </c>
      <c r="C24" s="95" t="n"/>
      <c r="D24" s="96" t="n"/>
      <c r="E24" s="70">
        <f>IF(OR(C24="",D24=""),"-",IF(IFERROR(MATCH(B24,L$11:L$40,0),"")="","-",IF(OR(INDEX(I$11:I$40,MATCH(B24,L$11:L$40,0))="",INDEX(J$11:J$40,MATCH(B24,L$11:L$40,0))="",INDEX(K$11:K$40,MATCH(B24,L$11:L$40,0))&lt;&gt;"内容は変化しない作業"),"-",MATCH(B24,L$11:L$40,0))))</f>
        <v/>
      </c>
      <c r="F24" s="71">
        <f t="array" ref="F24">IF(E24="-","-",IF(AND(C24&lt;&gt;"",D24&gt;0,INDEX(K$11:K$40,E24)="内容は変化しない作業",AND(E24&lt;&gt;"-",E24&lt;&gt;""),INDEX(I$11:I$40,E24)&lt;&gt;"",INDEX(J$11:J$40,E24)&lt;&gt;""),INDEX(J$11:J$40,E24)-D24,"-"))</f>
        <v/>
      </c>
      <c r="H24" s="88" t="n">
        <v>14</v>
      </c>
      <c r="I24" s="89" t="n"/>
      <c r="J24" s="90" t="n"/>
      <c r="K24" s="91" t="n"/>
      <c r="L24" s="87" t="n"/>
      <c r="N24" s="78">
        <f t="array" ref="N24">IF(AND(I24&lt;&gt;"",J24&gt;0,K24="内容は変化しない作業",L24&gt;0,INDEX(C$11:C$40,L24)&lt;&gt;"",INDEX(D$11:D$40,L24)&lt;&gt;""),J24-INDEX(D$11:D$40,L24),"-")</f>
        <v/>
      </c>
      <c r="O24" s="30" t="n"/>
    </row>
    <row r="25">
      <c r="B25" s="88" t="n">
        <v>15</v>
      </c>
      <c r="C25" s="95" t="n"/>
      <c r="D25" s="96" t="n"/>
      <c r="E25" s="70">
        <f>IF(OR(C25="",D25=""),"-",IF(IFERROR(MATCH(B25,L$11:L$40,0),"")="","-",IF(OR(INDEX(I$11:I$40,MATCH(B25,L$11:L$40,0))="",INDEX(J$11:J$40,MATCH(B25,L$11:L$40,0))="",INDEX(K$11:K$40,MATCH(B25,L$11:L$40,0))&lt;&gt;"内容は変化しない作業"),"-",MATCH(B25,L$11:L$40,0))))</f>
        <v/>
      </c>
      <c r="F25" s="71">
        <f t="array" ref="F25">IF(E25="-","-",IF(AND(C25&lt;&gt;"",D25&gt;0,INDEX(K$11:K$40,E25)="内容は変化しない作業",AND(E25&lt;&gt;"-",E25&lt;&gt;""),INDEX(I$11:I$40,E25)&lt;&gt;"",INDEX(J$11:J$40,E25)&lt;&gt;""),INDEX(J$11:J$40,E25)-D25,"-"))</f>
        <v/>
      </c>
      <c r="H25" s="88" t="n">
        <v>15</v>
      </c>
      <c r="I25" s="89" t="n"/>
      <c r="J25" s="90" t="n"/>
      <c r="K25" s="91" t="n"/>
      <c r="L25" s="87" t="n"/>
      <c r="N25" s="78">
        <f t="array" ref="N25">IF(AND(I25&lt;&gt;"",J25&gt;0,K25="内容は変化しない作業",L25&gt;0,INDEX(C$11:C$40,L25)&lt;&gt;"",INDEX(D$11:D$40,L25)&lt;&gt;""),J25-INDEX(D$11:D$40,L25),"-")</f>
        <v/>
      </c>
      <c r="O25" s="30" t="n"/>
    </row>
    <row r="26">
      <c r="B26" s="88" t="n">
        <v>16</v>
      </c>
      <c r="C26" s="95" t="n"/>
      <c r="D26" s="96" t="n"/>
      <c r="E26" s="70">
        <f>IF(OR(C26="",D26=""),"-",IF(IFERROR(MATCH(B26,L$11:L$40,0),"")="","-",IF(OR(INDEX(I$11:I$40,MATCH(B26,L$11:L$40,0))="",INDEX(J$11:J$40,MATCH(B26,L$11:L$40,0))="",INDEX(K$11:K$40,MATCH(B26,L$11:L$40,0))&lt;&gt;"内容は変化しない作業"),"-",MATCH(B26,L$11:L$40,0))))</f>
        <v/>
      </c>
      <c r="F26" s="71">
        <f t="array" ref="F26">IF(E26="-","-",IF(AND(C26&lt;&gt;"",D26&gt;0,INDEX(K$11:K$40,E26)="内容は変化しない作業",AND(E26&lt;&gt;"-",E26&lt;&gt;""),INDEX(I$11:I$40,E26)&lt;&gt;"",INDEX(J$11:J$40,E26)&lt;&gt;""),INDEX(J$11:J$40,E26)-D26,"-"))</f>
        <v/>
      </c>
      <c r="H26" s="88" t="n">
        <v>16</v>
      </c>
      <c r="I26" s="89" t="n"/>
      <c r="J26" s="90" t="n"/>
      <c r="K26" s="91" t="n"/>
      <c r="L26" s="87" t="n"/>
      <c r="N26" s="78">
        <f t="array" ref="N26">IF(AND(I26&lt;&gt;"",J26&gt;0,K26="内容は変化しない作業",L26&gt;0,INDEX(C$11:C$40,L26)&lt;&gt;"",INDEX(D$11:D$40,L26)&lt;&gt;""),J26-INDEX(D$11:D$40,L26),"-")</f>
        <v/>
      </c>
      <c r="O26" s="30" t="n"/>
    </row>
    <row r="27">
      <c r="B27" s="88" t="n">
        <v>17</v>
      </c>
      <c r="C27" s="95" t="n"/>
      <c r="D27" s="96" t="n"/>
      <c r="E27" s="70">
        <f>IF(OR(C27="",D27=""),"-",IF(IFERROR(MATCH(B27,L$11:L$40,0),"")="","-",IF(OR(INDEX(I$11:I$40,MATCH(B27,L$11:L$40,0))="",INDEX(J$11:J$40,MATCH(B27,L$11:L$40,0))="",INDEX(K$11:K$40,MATCH(B27,L$11:L$40,0))&lt;&gt;"内容は変化しない作業"),"-",MATCH(B27,L$11:L$40,0))))</f>
        <v/>
      </c>
      <c r="F27" s="71">
        <f t="array" ref="F27">IF(E27="-","-",IF(AND(C27&lt;&gt;"",D27&gt;0,INDEX(K$11:K$40,E27)="内容は変化しない作業",AND(E27&lt;&gt;"-",E27&lt;&gt;""),INDEX(I$11:I$40,E27)&lt;&gt;"",INDEX(J$11:J$40,E27)&lt;&gt;""),INDEX(J$11:J$40,E27)-D27,"-"))</f>
        <v/>
      </c>
      <c r="H27" s="88" t="n">
        <v>17</v>
      </c>
      <c r="I27" s="89" t="n"/>
      <c r="J27" s="90" t="n"/>
      <c r="K27" s="91" t="n"/>
      <c r="L27" s="87" t="n"/>
      <c r="N27" s="78">
        <f t="array" ref="N27">IF(AND(I27&lt;&gt;"",J27&gt;0,K27="内容は変化しない作業",L27&gt;0,INDEX(C$11:C$40,L27)&lt;&gt;"",INDEX(D$11:D$40,L27)&lt;&gt;""),J27-INDEX(D$11:D$40,L27),"-")</f>
        <v/>
      </c>
      <c r="O27" s="30" t="n"/>
    </row>
    <row r="28">
      <c r="B28" s="88" t="n">
        <v>18</v>
      </c>
      <c r="C28" s="95" t="n"/>
      <c r="D28" s="96" t="n"/>
      <c r="E28" s="70">
        <f>IF(OR(C28="",D28=""),"-",IF(IFERROR(MATCH(B28,L$11:L$40,0),"")="","-",IF(OR(INDEX(I$11:I$40,MATCH(B28,L$11:L$40,0))="",INDEX(J$11:J$40,MATCH(B28,L$11:L$40,0))="",INDEX(K$11:K$40,MATCH(B28,L$11:L$40,0))&lt;&gt;"内容は変化しない作業"),"-",MATCH(B28,L$11:L$40,0))))</f>
        <v/>
      </c>
      <c r="F28" s="71">
        <f t="array" ref="F28">IF(E28="-","-",IF(AND(C28&lt;&gt;"",D28&gt;0,INDEX(K$11:K$40,E28)="内容は変化しない作業",AND(E28&lt;&gt;"-",E28&lt;&gt;""),INDEX(I$11:I$40,E28)&lt;&gt;"",INDEX(J$11:J$40,E28)&lt;&gt;""),INDEX(J$11:J$40,E28)-D28,"-"))</f>
        <v/>
      </c>
      <c r="H28" s="88" t="n">
        <v>18</v>
      </c>
      <c r="I28" s="89" t="n"/>
      <c r="J28" s="90" t="n"/>
      <c r="K28" s="91" t="n"/>
      <c r="L28" s="87" t="n"/>
      <c r="N28" s="78">
        <f t="array" ref="N28">IF(AND(I28&lt;&gt;"",J28&gt;0,K28="内容は変化しない作業",L28&gt;0,INDEX(C$11:C$40,L28)&lt;&gt;"",INDEX(D$11:D$40,L28)&lt;&gt;""),J28-INDEX(D$11:D$40,L28),"-")</f>
        <v/>
      </c>
      <c r="O28" s="30" t="n"/>
    </row>
    <row r="29">
      <c r="B29" s="88" t="n">
        <v>19</v>
      </c>
      <c r="C29" s="95" t="n"/>
      <c r="D29" s="96" t="n"/>
      <c r="E29" s="70">
        <f>IF(OR(C29="",D29=""),"-",IF(IFERROR(MATCH(B29,L$11:L$40,0),"")="","-",IF(OR(INDEX(I$11:I$40,MATCH(B29,L$11:L$40,0))="",INDEX(J$11:J$40,MATCH(B29,L$11:L$40,0))="",INDEX(K$11:K$40,MATCH(B29,L$11:L$40,0))&lt;&gt;"内容は変化しない作業"),"-",MATCH(B29,L$11:L$40,0))))</f>
        <v/>
      </c>
      <c r="F29" s="71">
        <f t="array" ref="F29">IF(E29="-","-",IF(AND(C29&lt;&gt;"",D29&gt;0,INDEX(K$11:K$40,E29)="内容は変化しない作業",AND(E29&lt;&gt;"-",E29&lt;&gt;""),INDEX(I$11:I$40,E29)&lt;&gt;"",INDEX(J$11:J$40,E29)&lt;&gt;""),INDEX(J$11:J$40,E29)-D29,"-"))</f>
        <v/>
      </c>
      <c r="H29" s="88" t="n">
        <v>19</v>
      </c>
      <c r="I29" s="89" t="n"/>
      <c r="J29" s="90" t="n"/>
      <c r="K29" s="91" t="n"/>
      <c r="L29" s="87" t="n"/>
      <c r="N29" s="78">
        <f t="array" ref="N29">IF(AND(I29&lt;&gt;"",J29&gt;0,K29="内容は変化しない作業",L29&gt;0,INDEX(C$11:C$40,L29)&lt;&gt;"",INDEX(D$11:D$40,L29)&lt;&gt;""),J29-INDEX(D$11:D$40,L29),"-")</f>
        <v/>
      </c>
      <c r="O29" s="30" t="n"/>
    </row>
    <row r="30">
      <c r="B30" s="88" t="n">
        <v>20</v>
      </c>
      <c r="C30" s="95" t="n"/>
      <c r="D30" s="96" t="n"/>
      <c r="E30" s="70">
        <f>IF(OR(C30="",D30=""),"-",IF(IFERROR(MATCH(B30,L$11:L$40,0),"")="","-",IF(OR(INDEX(I$11:I$40,MATCH(B30,L$11:L$40,0))="",INDEX(J$11:J$40,MATCH(B30,L$11:L$40,0))="",INDEX(K$11:K$40,MATCH(B30,L$11:L$40,0))&lt;&gt;"内容は変化しない作業"),"-",MATCH(B30,L$11:L$40,0))))</f>
        <v/>
      </c>
      <c r="F30" s="71">
        <f t="array" ref="F30">IF(E30="-","-",IF(AND(C30&lt;&gt;"",D30&gt;0,INDEX(K$11:K$40,E30)="内容は変化しない作業",AND(E30&lt;&gt;"-",E30&lt;&gt;""),INDEX(I$11:I$40,E30)&lt;&gt;"",INDEX(J$11:J$40,E30)&lt;&gt;""),INDEX(J$11:J$40,E30)-D30,"-"))</f>
        <v/>
      </c>
      <c r="H30" s="88" t="n">
        <v>20</v>
      </c>
      <c r="I30" s="89" t="n"/>
      <c r="J30" s="90" t="n"/>
      <c r="K30" s="91" t="n"/>
      <c r="L30" s="87" t="n"/>
      <c r="N30" s="78">
        <f t="array" ref="N30">IF(AND(I30&lt;&gt;"",J30&gt;0,K30="内容は変化しない作業",L30&gt;0,INDEX(C$11:C$40,L30)&lt;&gt;"",INDEX(D$11:D$40,L30)&lt;&gt;""),J30-INDEX(D$11:D$40,L30),"-")</f>
        <v/>
      </c>
      <c r="O30" s="30" t="n"/>
    </row>
    <row r="31">
      <c r="B31" s="88" t="n">
        <v>21</v>
      </c>
      <c r="C31" s="95" t="n"/>
      <c r="D31" s="96" t="n"/>
      <c r="E31" s="70">
        <f>IF(OR(C31="",D31=""),"-",IF(IFERROR(MATCH(B31,L$11:L$40,0),"")="","-",IF(OR(INDEX(I$11:I$40,MATCH(B31,L$11:L$40,0))="",INDEX(J$11:J$40,MATCH(B31,L$11:L$40,0))="",INDEX(K$11:K$40,MATCH(B31,L$11:L$40,0))&lt;&gt;"内容は変化しない作業"),"-",MATCH(B31,L$11:L$40,0))))</f>
        <v/>
      </c>
      <c r="F31" s="71">
        <f t="array" ref="F31">IF(E31="-","-",IF(AND(C31&lt;&gt;"",D31&gt;0,INDEX(K$11:K$40,E31)="内容は変化しない作業",AND(E31&lt;&gt;"-",E31&lt;&gt;""),INDEX(I$11:I$40,E31)&lt;&gt;"",INDEX(J$11:J$40,E31)&lt;&gt;""),INDEX(J$11:J$40,E31)-D31,"-"))</f>
        <v/>
      </c>
      <c r="H31" s="88" t="n">
        <v>21</v>
      </c>
      <c r="I31" s="89" t="n"/>
      <c r="J31" s="90" t="n"/>
      <c r="K31" s="91" t="n"/>
      <c r="L31" s="87" t="n"/>
      <c r="N31" s="78">
        <f t="array" ref="N31">IF(AND(I31&lt;&gt;"",J31&gt;0,K31="内容は変化しない作業",L31&gt;0,INDEX(C$11:C$40,L31)&lt;&gt;"",INDEX(D$11:D$40,L31)&lt;&gt;""),J31-INDEX(D$11:D$40,L31),"-")</f>
        <v/>
      </c>
      <c r="O31" s="30" t="n"/>
    </row>
    <row r="32">
      <c r="B32" s="88" t="n">
        <v>22</v>
      </c>
      <c r="C32" s="95" t="n"/>
      <c r="D32" s="96" t="n"/>
      <c r="E32" s="70">
        <f>IF(OR(C32="",D32=""),"-",IF(IFERROR(MATCH(B32,L$11:L$40,0),"")="","-",IF(OR(INDEX(I$11:I$40,MATCH(B32,L$11:L$40,0))="",INDEX(J$11:J$40,MATCH(B32,L$11:L$40,0))="",INDEX(K$11:K$40,MATCH(B32,L$11:L$40,0))&lt;&gt;"内容は変化しない作業"),"-",MATCH(B32,L$11:L$40,0))))</f>
        <v/>
      </c>
      <c r="F32" s="71">
        <f t="array" ref="F32">IF(E32="-","-",IF(AND(C32&lt;&gt;"",D32&gt;0,INDEX(K$11:K$40,E32)="内容は変化しない作業",AND(E32&lt;&gt;"-",E32&lt;&gt;""),INDEX(I$11:I$40,E32)&lt;&gt;"",INDEX(J$11:J$40,E32)&lt;&gt;""),INDEX(J$11:J$40,E32)-D32,"-"))</f>
        <v/>
      </c>
      <c r="H32" s="88" t="n">
        <v>22</v>
      </c>
      <c r="I32" s="89" t="n"/>
      <c r="J32" s="90" t="n"/>
      <c r="K32" s="91" t="n"/>
      <c r="L32" s="87" t="n"/>
      <c r="N32" s="78">
        <f t="array" ref="N32">IF(AND(I32&lt;&gt;"",J32&gt;0,K32="内容は変化しない作業",L32&gt;0,INDEX(C$11:C$40,L32)&lt;&gt;"",INDEX(D$11:D$40,L32)&lt;&gt;""),J32-INDEX(D$11:D$40,L32),"-")</f>
        <v/>
      </c>
      <c r="O32" s="30" t="n"/>
    </row>
    <row r="33">
      <c r="B33" s="88" t="n">
        <v>23</v>
      </c>
      <c r="C33" s="95" t="n"/>
      <c r="D33" s="96" t="n"/>
      <c r="E33" s="70">
        <f>IF(OR(C33="",D33=""),"-",IF(IFERROR(MATCH(B33,L$11:L$40,0),"")="","-",IF(OR(INDEX(I$11:I$40,MATCH(B33,L$11:L$40,0))="",INDEX(J$11:J$40,MATCH(B33,L$11:L$40,0))="",INDEX(K$11:K$40,MATCH(B33,L$11:L$40,0))&lt;&gt;"内容は変化しない作業"),"-",MATCH(B33,L$11:L$40,0))))</f>
        <v/>
      </c>
      <c r="F33" s="71">
        <f t="array" ref="F33">IF(E33="-","-",IF(AND(C33&lt;&gt;"",D33&gt;0,INDEX(K$11:K$40,E33)="内容は変化しない作業",AND(E33&lt;&gt;"-",E33&lt;&gt;""),INDEX(I$11:I$40,E33)&lt;&gt;"",INDEX(J$11:J$40,E33)&lt;&gt;""),INDEX(J$11:J$40,E33)-D33,"-"))</f>
        <v/>
      </c>
      <c r="H33" s="88" t="n">
        <v>23</v>
      </c>
      <c r="I33" s="89" t="n"/>
      <c r="J33" s="90" t="n"/>
      <c r="K33" s="91" t="n"/>
      <c r="L33" s="87" t="n"/>
      <c r="N33" s="78">
        <f t="array" ref="N33">IF(AND(I33&lt;&gt;"",J33&gt;0,K33="内容は変化しない作業",L33&gt;0,INDEX(C$11:C$40,L33)&lt;&gt;"",INDEX(D$11:D$40,L33)&lt;&gt;""),J33-INDEX(D$11:D$40,L33),"-")</f>
        <v/>
      </c>
      <c r="O33" s="30" t="n"/>
    </row>
    <row r="34">
      <c r="B34" s="88" t="n">
        <v>24</v>
      </c>
      <c r="C34" s="95" t="n"/>
      <c r="D34" s="96" t="n"/>
      <c r="E34" s="70">
        <f>IF(OR(C34="",D34=""),"-",IF(IFERROR(MATCH(B34,L$11:L$40,0),"")="","-",IF(OR(INDEX(I$11:I$40,MATCH(B34,L$11:L$40,0))="",INDEX(J$11:J$40,MATCH(B34,L$11:L$40,0))="",INDEX(K$11:K$40,MATCH(B34,L$11:L$40,0))&lt;&gt;"内容は変化しない作業"),"-",MATCH(B34,L$11:L$40,0))))</f>
        <v/>
      </c>
      <c r="F34" s="71">
        <f t="array" ref="F34">IF(E34="-","-",IF(AND(C34&lt;&gt;"",D34&gt;0,INDEX(K$11:K$40,E34)="内容は変化しない作業",AND(E34&lt;&gt;"-",E34&lt;&gt;""),INDEX(I$11:I$40,E34)&lt;&gt;"",INDEX(J$11:J$40,E34)&lt;&gt;""),INDEX(J$11:J$40,E34)-D34,"-"))</f>
        <v/>
      </c>
      <c r="H34" s="88" t="n">
        <v>24</v>
      </c>
      <c r="I34" s="89" t="n"/>
      <c r="J34" s="90" t="n"/>
      <c r="K34" s="91" t="n"/>
      <c r="L34" s="87" t="n"/>
      <c r="N34" s="78">
        <f t="array" ref="N34">IF(AND(I34&lt;&gt;"",J34&gt;0,K34="内容は変化しない作業",L34&gt;0,INDEX(C$11:C$40,L34)&lt;&gt;"",INDEX(D$11:D$40,L34)&lt;&gt;""),J34-INDEX(D$11:D$40,L34),"-")</f>
        <v/>
      </c>
      <c r="O34" s="30" t="n"/>
    </row>
    <row r="35">
      <c r="B35" s="88" t="n">
        <v>25</v>
      </c>
      <c r="C35" s="95" t="n"/>
      <c r="D35" s="96" t="n"/>
      <c r="E35" s="70">
        <f>IF(OR(C35="",D35=""),"-",IF(IFERROR(MATCH(B35,L$11:L$40,0),"")="","-",IF(OR(INDEX(I$11:I$40,MATCH(B35,L$11:L$40,0))="",INDEX(J$11:J$40,MATCH(B35,L$11:L$40,0))="",INDEX(K$11:K$40,MATCH(B35,L$11:L$40,0))&lt;&gt;"内容は変化しない作業"),"-",MATCH(B35,L$11:L$40,0))))</f>
        <v/>
      </c>
      <c r="F35" s="71">
        <f t="array" ref="F35">IF(E35="-","-",IF(AND(C35&lt;&gt;"",D35&gt;0,INDEX(K$11:K$40,E35)="内容は変化しない作業",AND(E35&lt;&gt;"-",E35&lt;&gt;""),INDEX(I$11:I$40,E35)&lt;&gt;"",INDEX(J$11:J$40,E35)&lt;&gt;""),INDEX(J$11:J$40,E35)-D35,"-"))</f>
        <v/>
      </c>
      <c r="H35" s="88" t="n">
        <v>25</v>
      </c>
      <c r="I35" s="89" t="n"/>
      <c r="J35" s="90" t="n"/>
      <c r="K35" s="91" t="n"/>
      <c r="L35" s="87" t="n"/>
      <c r="N35" s="78">
        <f t="array" ref="N35">IF(AND(I35&lt;&gt;"",J35&gt;0,K35="内容は変化しない作業",L35&gt;0,INDEX(C$11:C$40,L35)&lt;&gt;"",INDEX(D$11:D$40,L35)&lt;&gt;""),J35-INDEX(D$11:D$40,L35),"-")</f>
        <v/>
      </c>
      <c r="O35" s="30" t="n"/>
    </row>
    <row r="36">
      <c r="B36" s="88" t="n">
        <v>26</v>
      </c>
      <c r="C36" s="95" t="n"/>
      <c r="D36" s="96" t="n"/>
      <c r="E36" s="70">
        <f>IF(OR(C36="",D36=""),"-",IF(IFERROR(MATCH(B36,L$11:L$40,0),"")="","-",IF(OR(INDEX(I$11:I$40,MATCH(B36,L$11:L$40,0))="",INDEX(J$11:J$40,MATCH(B36,L$11:L$40,0))="",INDEX(K$11:K$40,MATCH(B36,L$11:L$40,0))&lt;&gt;"内容は変化しない作業"),"-",MATCH(B36,L$11:L$40,0))))</f>
        <v/>
      </c>
      <c r="F36" s="71">
        <f t="array" ref="F36">IF(E36="-","-",IF(AND(C36&lt;&gt;"",D36&gt;0,INDEX(K$11:K$40,E36)="内容は変化しない作業",AND(E36&lt;&gt;"-",E36&lt;&gt;""),INDEX(I$11:I$40,E36)&lt;&gt;"",INDEX(J$11:J$40,E36)&lt;&gt;""),INDEX(J$11:J$40,E36)-D36,"-"))</f>
        <v/>
      </c>
      <c r="H36" s="88" t="n">
        <v>26</v>
      </c>
      <c r="I36" s="89" t="n"/>
      <c r="J36" s="90" t="n"/>
      <c r="K36" s="91" t="n"/>
      <c r="L36" s="87" t="n"/>
      <c r="N36" s="78">
        <f t="array" ref="N36">IF(AND(I36&lt;&gt;"",J36&gt;0,K36="内容は変化しない作業",L36&gt;0,INDEX(C$11:C$40,L36)&lt;&gt;"",INDEX(D$11:D$40,L36)&lt;&gt;""),J36-INDEX(D$11:D$40,L36),"-")</f>
        <v/>
      </c>
      <c r="O36" s="30" t="n"/>
    </row>
    <row r="37">
      <c r="B37" s="88" t="n">
        <v>27</v>
      </c>
      <c r="C37" s="95" t="n"/>
      <c r="D37" s="96" t="n"/>
      <c r="E37" s="70">
        <f>IF(OR(C37="",D37=""),"-",IF(IFERROR(MATCH(B37,L$11:L$40,0),"")="","-",IF(OR(INDEX(I$11:I$40,MATCH(B37,L$11:L$40,0))="",INDEX(J$11:J$40,MATCH(B37,L$11:L$40,0))="",INDEX(K$11:K$40,MATCH(B37,L$11:L$40,0))&lt;&gt;"内容は変化しない作業"),"-",MATCH(B37,L$11:L$40,0))))</f>
        <v/>
      </c>
      <c r="F37" s="71">
        <f t="array" ref="F37">IF(E37="-","-",IF(AND(C37&lt;&gt;"",D37&gt;0,INDEX(K$11:K$40,E37)="内容は変化しない作業",AND(E37&lt;&gt;"-",E37&lt;&gt;""),INDEX(I$11:I$40,E37)&lt;&gt;"",INDEX(J$11:J$40,E37)&lt;&gt;""),INDEX(J$11:J$40,E37)-D37,"-"))</f>
        <v/>
      </c>
      <c r="H37" s="88" t="n">
        <v>27</v>
      </c>
      <c r="I37" s="89" t="n"/>
      <c r="J37" s="90" t="n"/>
      <c r="K37" s="91" t="n"/>
      <c r="L37" s="87" t="n"/>
      <c r="N37" s="78">
        <f t="array" ref="N37">IF(AND(I37&lt;&gt;"",J37&gt;0,K37="内容は変化しない作業",L37&gt;0,INDEX(C$11:C$40,L37)&lt;&gt;"",INDEX(D$11:D$40,L37)&lt;&gt;""),J37-INDEX(D$11:D$40,L37),"-")</f>
        <v/>
      </c>
      <c r="O37" s="30" t="n"/>
    </row>
    <row r="38">
      <c r="B38" s="88" t="n">
        <v>28</v>
      </c>
      <c r="C38" s="95" t="n"/>
      <c r="D38" s="96" t="n"/>
      <c r="E38" s="70">
        <f>IF(OR(C38="",D38=""),"-",IF(IFERROR(MATCH(B38,L$11:L$40,0),"")="","-",IF(OR(INDEX(I$11:I$40,MATCH(B38,L$11:L$40,0))="",INDEX(J$11:J$40,MATCH(B38,L$11:L$40,0))="",INDEX(K$11:K$40,MATCH(B38,L$11:L$40,0))&lt;&gt;"内容は変化しない作業"),"-",MATCH(B38,L$11:L$40,0))))</f>
        <v/>
      </c>
      <c r="F38" s="71">
        <f t="array" ref="F38">IF(E38="-","-",IF(AND(C38&lt;&gt;"",D38&gt;0,INDEX(K$11:K$40,E38)="内容は変化しない作業",AND(E38&lt;&gt;"-",E38&lt;&gt;""),INDEX(I$11:I$40,E38)&lt;&gt;"",INDEX(J$11:J$40,E38)&lt;&gt;""),INDEX(J$11:J$40,E38)-D38,"-"))</f>
        <v/>
      </c>
      <c r="H38" s="88" t="n">
        <v>28</v>
      </c>
      <c r="I38" s="89" t="n"/>
      <c r="J38" s="90" t="n"/>
      <c r="K38" s="91" t="n"/>
      <c r="L38" s="87" t="n"/>
      <c r="N38" s="78">
        <f t="array" ref="N38">IF(AND(I38&lt;&gt;"",J38&gt;0,K38="内容は変化しない作業",L38&gt;0,INDEX(C$11:C$40,L38)&lt;&gt;"",INDEX(D$11:D$40,L38)&lt;&gt;""),J38-INDEX(D$11:D$40,L38),"-")</f>
        <v/>
      </c>
      <c r="O38" s="30" t="n"/>
    </row>
    <row r="39">
      <c r="B39" s="88" t="n">
        <v>29</v>
      </c>
      <c r="C39" s="95" t="n"/>
      <c r="D39" s="96" t="n"/>
      <c r="E39" s="70">
        <f>IF(OR(C39="",D39=""),"-",IF(IFERROR(MATCH(B39,L$11:L$40,0),"")="","-",IF(OR(INDEX(I$11:I$40,MATCH(B39,L$11:L$40,0))="",INDEX(J$11:J$40,MATCH(B39,L$11:L$40,0))="",INDEX(K$11:K$40,MATCH(B39,L$11:L$40,0))&lt;&gt;"内容は変化しない作業"),"-",MATCH(B39,L$11:L$40,0))))</f>
        <v/>
      </c>
      <c r="F39" s="71">
        <f t="array" ref="F39">IF(E39="-","-",IF(AND(C39&lt;&gt;"",D39&gt;0,INDEX(K$11:K$40,E39)="内容は変化しない作業",AND(E39&lt;&gt;"-",E39&lt;&gt;""),INDEX(I$11:I$40,E39)&lt;&gt;"",INDEX(J$11:J$40,E39)&lt;&gt;""),INDEX(J$11:J$40,E39)-D39,"-"))</f>
        <v/>
      </c>
      <c r="H39" s="88" t="n">
        <v>29</v>
      </c>
      <c r="I39" s="89" t="n"/>
      <c r="J39" s="90" t="n"/>
      <c r="K39" s="91" t="n"/>
      <c r="L39" s="87" t="n"/>
      <c r="N39" s="78">
        <f t="array" ref="N39">IF(AND(I39&lt;&gt;"",J39&gt;0,K39="内容は変化しない作業",L39&gt;0,INDEX(C$11:C$40,L39)&lt;&gt;"",INDEX(D$11:D$40,L39)&lt;&gt;""),J39-INDEX(D$11:D$40,L39),"-")</f>
        <v/>
      </c>
      <c r="O39" s="30" t="n"/>
    </row>
    <row r="40" ht="13.5" customHeight="1" thickBot="1">
      <c r="B40" s="88" t="n">
        <v>30</v>
      </c>
      <c r="C40" s="97" t="n"/>
      <c r="D40" s="98" t="n"/>
      <c r="E40" s="70">
        <f>IF(OR(C40="",D40=""),"-",IF(IFERROR(MATCH(B40,L$11:L$40,0),"")="","-",IF(OR(INDEX(I$11:I$40,MATCH(B40,L$11:L$40,0))="",INDEX(J$11:J$40,MATCH(B40,L$11:L$40,0))="",INDEX(K$11:K$40,MATCH(B40,L$11:L$40,0))&lt;&gt;"内容は変化しない作業"),"-",MATCH(B40,L$11:L$40,0))))</f>
        <v/>
      </c>
      <c r="F40" s="71">
        <f t="array" ref="F40">IF(E40="-","-",IF(AND(C40&lt;&gt;"",D40&gt;0,INDEX(K$11:K$40,E40)="内容は変化しない作業",AND(E40&lt;&gt;"-",E40&lt;&gt;""),INDEX(I$11:I$40,E40)&lt;&gt;"",INDEX(J$11:J$40,E40)&lt;&gt;""),INDEX(J$11:J$40,E40)-D40,"-"))</f>
        <v/>
      </c>
      <c r="H40" s="88" t="n">
        <v>30</v>
      </c>
      <c r="I40" s="99" t="n"/>
      <c r="J40" s="100" t="n"/>
      <c r="K40" s="101" t="n"/>
      <c r="L40" s="102" t="n"/>
      <c r="N40" s="78">
        <f t="array" ref="N40">IF(AND(I40&lt;&gt;"",J40&gt;0,K40="内容は変化しない作業",L40&gt;0,INDEX(C$11:C$40,L40)&lt;&gt;"",INDEX(D$11:D$40,L40)&lt;&gt;""),J40-INDEX(D$11:D$40,L40),"-")</f>
        <v/>
      </c>
      <c r="O40" s="30" t="n"/>
    </row>
    <row r="41">
      <c r="B41" s="103" t="n"/>
      <c r="C41" s="103" t="n"/>
      <c r="D41" s="103" t="n"/>
      <c r="E41" s="103" t="n"/>
      <c r="F41" s="103" t="n"/>
      <c r="G41" s="103" t="n"/>
      <c r="H41" s="103" t="n"/>
      <c r="I41" s="103" t="n"/>
      <c r="J41" s="103" t="n"/>
      <c r="K41" s="103" t="n"/>
      <c r="L41" s="103" t="n"/>
      <c r="M41" s="103" t="n"/>
      <c r="N41" s="103" t="n"/>
    </row>
    <row r="42">
      <c r="B42" s="120" t="n"/>
      <c r="J42" s="72" t="n"/>
      <c r="N42" s="104" t="n"/>
    </row>
    <row r="43">
      <c r="B43" s="120" t="n"/>
    </row>
    <row r="44">
      <c r="B44" s="120" t="n"/>
    </row>
    <row r="45">
      <c r="B45" s="120" t="n"/>
    </row>
    <row r="46">
      <c r="B46" s="120" t="n"/>
    </row>
    <row r="47">
      <c r="B47" s="120" t="n"/>
    </row>
    <row r="48">
      <c r="B48" s="120" t="n"/>
    </row>
    <row r="49">
      <c r="B49" s="120" t="n"/>
    </row>
    <row r="50">
      <c r="B50" s="120" t="n"/>
    </row>
    <row r="51"/>
    <row r="52">
      <c r="B52" s="120" t="n"/>
    </row>
    <row r="53">
      <c r="B53" s="120" t="n"/>
    </row>
    <row r="54">
      <c r="B54" s="120" t="n"/>
    </row>
    <row r="55">
      <c r="B55" s="120" t="n"/>
    </row>
    <row r="56">
      <c r="B56" s="120" t="n"/>
    </row>
    <row r="57">
      <c r="B57" s="120" t="n"/>
    </row>
  </sheetData>
  <mergeCells count="15">
    <mergeCell ref="B47:G47"/>
    <mergeCell ref="B54:G54"/>
    <mergeCell ref="B48:G48"/>
    <mergeCell ref="B42:G42"/>
    <mergeCell ref="B46:G46"/>
    <mergeCell ref="B45:G45"/>
    <mergeCell ref="B57:G57"/>
    <mergeCell ref="B49:G49"/>
    <mergeCell ref="B50:G50"/>
    <mergeCell ref="B43:G43"/>
    <mergeCell ref="B56:G56"/>
    <mergeCell ref="B52:G52"/>
    <mergeCell ref="B44:G44"/>
    <mergeCell ref="B53:G53"/>
    <mergeCell ref="B55:G55"/>
  </mergeCells>
  <conditionalFormatting sqref="B11:D40">
    <cfRule type="expression" priority="10" dxfId="9">
      <formula>AND($C11&lt;&gt;"",$D11&lt;&gt;"",$E11="-")</formula>
    </cfRule>
  </conditionalFormatting>
  <conditionalFormatting sqref="C11:D40">
    <cfRule type="expression" priority="5" dxfId="0">
      <formula>$D11=""</formula>
    </cfRule>
    <cfRule type="expression" priority="6" dxfId="0">
      <formula>$C11=""</formula>
    </cfRule>
  </conditionalFormatting>
  <conditionalFormatting sqref="H11:H40">
    <cfRule type="expression" priority="2" dxfId="6">
      <formula>OR($I11="",$J11="")</formula>
    </cfRule>
  </conditionalFormatting>
  <conditionalFormatting sqref="H11:K40">
    <cfRule type="expression" priority="7" dxfId="5">
      <formula>OR($K11="新たに追加される作業",AND($K11="内容は変化しない作業",$I11&lt;&gt;"",$J11&lt;&gt;"",$L11&lt;&gt;"",$N11="-"),AND($I11&lt;&gt;"",$J11&lt;&gt;"",$K12&lt;&gt;"",$N11="-"))</formula>
    </cfRule>
  </conditionalFormatting>
  <conditionalFormatting sqref="I11:K40">
    <cfRule type="expression" priority="3" dxfId="0">
      <formula>$J11=""</formula>
    </cfRule>
    <cfRule type="expression" priority="4" dxfId="0">
      <formula>$I11=""</formula>
    </cfRule>
  </conditionalFormatting>
  <conditionalFormatting sqref="L11:L40">
    <cfRule type="expression" priority="1" dxfId="2">
      <formula>AND(N11="-",L11&lt;&gt;"")</formula>
    </cfRule>
    <cfRule type="expression" priority="8" dxfId="1">
      <formula>AND(L11&lt;&gt;"",K11="内容は変化しない作業",N11&lt;&gt;"-")</formula>
    </cfRule>
    <cfRule type="expression" priority="9" dxfId="0">
      <formula>K11="内容は変化しない作業"</formula>
    </cfRule>
  </conditionalFormatting>
  <dataValidations count="3">
    <dataValidation sqref="L11:L40" showDropDown="0" showInputMessage="1" showErrorMessage="1" allowBlank="1" type="whole">
      <formula1>1</formula1>
      <formula2>30</formula2>
    </dataValidation>
    <dataValidation sqref="D11:D40 J11:J40" showDropDown="0" showInputMessage="1" showErrorMessage="1" allowBlank="1" type="whole" operator="greaterThanOrEqual">
      <formula1>1</formula1>
    </dataValidation>
    <dataValidation sqref="K11:K40" showDropDown="0" showInputMessage="1" showErrorMessage="1" allowBlank="1" type="list">
      <formula1>$P$11:$P$13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2026-03-25T08:26:40Z</dcterms:created>
  <dcterms:modified xmlns:dcterms="http://purl.org/dc/terms/" xmlns:xsi="http://www.w3.org/2001/XMLSchema-instance" xsi:type="dcterms:W3CDTF">2026-09-08T23:58:25Z</dcterms:modified>
  <cp:lastModifiedBy>本木</cp:lastModifiedBy>
</cp:coreProperties>
</file>