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880" yWindow="2820" windowWidth="17400" windowHeight="17350" tabRatio="600" firstSheet="1" activeTab="2" autoFilterDateGrouping="1"/>
  </bookViews>
  <sheets>
    <sheet xmlns:r="http://schemas.openxmlformats.org/officeDocument/2006/relationships" name="使い方" sheetId="1" state="visible" r:id="rId1"/>
    <sheet xmlns:r="http://schemas.openxmlformats.org/officeDocument/2006/relationships" name="ヒアリングシート" sheetId="2" state="visible" r:id="rId2"/>
    <sheet xmlns:r="http://schemas.openxmlformats.org/officeDocument/2006/relationships" name="工数ヒアリング用　省力化計算シート" sheetId="3" state="visible" r:id="rId3"/>
  </sheets>
  <definedNames>
    <definedName name="_xlnm.Print_Titles" localSheetId="1">'ヒアリングシート'!$1:$1</definedName>
  </definedNames>
  <calcPr calcId="191029" fullCalcOnLoad="1"/>
</workbook>
</file>

<file path=xl/styles.xml><?xml version="1.0" encoding="utf-8"?>
<styleSheet xmlns="http://schemas.openxmlformats.org/spreadsheetml/2006/main">
  <numFmts count="3">
    <numFmt numFmtId="164" formatCode="0.0000_ "/>
    <numFmt numFmtId="165" formatCode="0.0_ "/>
    <numFmt numFmtId="166" formatCode="0.00_ "/>
  </numFmts>
  <fonts count="41">
    <font>
      <name val="ＭＳ Ｐゴシック"/>
      <family val="2"/>
      <color theme="1"/>
      <sz val="11"/>
      <scheme val="minor"/>
    </font>
    <font>
      <name val="游ゴシック"/>
      <charset val="128"/>
      <family val="3"/>
      <b val="1"/>
      <color rgb="FFFFFFFF"/>
      <sz val="20"/>
    </font>
    <font>
      <name val="游ゴシック"/>
      <charset val="128"/>
      <family val="3"/>
      <sz val="14"/>
    </font>
    <font>
      <name val="游ゴシック"/>
      <charset val="128"/>
      <family val="3"/>
      <sz val="10"/>
    </font>
    <font>
      <name val="游ゴシック"/>
      <charset val="128"/>
      <family val="3"/>
      <b val="1"/>
      <color rgb="FFFFFFFF"/>
      <sz val="16"/>
    </font>
    <font>
      <name val="游ゴシック"/>
      <charset val="128"/>
      <family val="3"/>
      <sz val="11"/>
    </font>
    <font>
      <name val="游ゴシック"/>
      <charset val="128"/>
      <family val="3"/>
      <b val="1"/>
      <color rgb="FFFFFFFF"/>
      <sz val="10"/>
    </font>
    <font>
      <name val="游ゴシック"/>
      <charset val="128"/>
      <family val="3"/>
      <b val="1"/>
      <sz val="9"/>
    </font>
    <font>
      <name val="游ゴシック"/>
      <charset val="128"/>
      <family val="3"/>
      <sz val="8.5"/>
    </font>
    <font>
      <name val="游ゴシック"/>
      <charset val="128"/>
      <family val="3"/>
      <sz val="9"/>
    </font>
    <font>
      <name val="BIZ UDゴシック"/>
      <charset val="128"/>
      <family val="3"/>
      <color rgb="FF0070C0"/>
      <sz val="8"/>
    </font>
    <font>
      <name val="游ゴシック"/>
      <charset val="128"/>
      <family val="3"/>
      <color rgb="FF666666"/>
      <sz val="8"/>
    </font>
    <font>
      <name val="ＭＳ Ｐゴシック"/>
      <charset val="128"/>
      <family val="3"/>
      <sz val="6"/>
      <scheme val="minor"/>
    </font>
    <font>
      <name val="ＭＳ Ｐゴシック"/>
      <charset val="128"/>
      <family val="3"/>
      <b val="1"/>
      <color theme="0"/>
      <sz val="11"/>
      <scheme val="minor"/>
    </font>
    <font>
      <name val="ＭＳ Ｐゴシック"/>
      <charset val="128"/>
      <family val="3"/>
      <b val="1"/>
      <color theme="1"/>
      <sz val="10"/>
      <scheme val="minor"/>
    </font>
    <font>
      <name val="ＭＳ Ｐゴシック"/>
      <charset val="128"/>
      <family val="3"/>
      <b val="1"/>
      <color theme="1"/>
      <sz val="11"/>
      <scheme val="minor"/>
    </font>
    <font>
      <name val="ＭＳ Ｐゴシック"/>
      <charset val="128"/>
      <family val="3"/>
      <b val="1"/>
      <color theme="1"/>
      <sz val="12"/>
      <scheme val="minor"/>
    </font>
    <font>
      <name val="ＭＳ Ｐゴシック"/>
      <charset val="128"/>
      <family val="3"/>
      <b val="1"/>
      <sz val="11"/>
      <scheme val="minor"/>
    </font>
    <font>
      <name val="ＭＳ Ｐゴシック"/>
      <charset val="128"/>
      <family val="3"/>
      <b val="1"/>
      <color rgb="FFC00000"/>
      <sz val="11"/>
      <scheme val="minor"/>
    </font>
    <font>
      <name val="ＭＳ Ｐゴシック"/>
      <charset val="128"/>
      <family val="2"/>
      <color theme="1"/>
      <sz val="10"/>
      <scheme val="minor"/>
    </font>
    <font>
      <name val="ＭＳ Ｐゴシック"/>
      <charset val="128"/>
      <family val="3"/>
      <color theme="1"/>
      <sz val="9"/>
      <scheme val="minor"/>
    </font>
    <font>
      <name val="ＭＳ Ｐゴシック"/>
      <charset val="128"/>
      <family val="3"/>
      <b val="1"/>
      <color theme="1"/>
      <sz val="9"/>
      <scheme val="minor"/>
    </font>
    <font>
      <name val="ＭＳ Ｐゴシック"/>
      <charset val="128"/>
      <family val="3"/>
      <color theme="1"/>
      <sz val="11"/>
      <scheme val="minor"/>
    </font>
    <font>
      <name val="ＭＳ Ｐゴシック"/>
      <charset val="128"/>
      <family val="3"/>
      <sz val="9"/>
      <scheme val="minor"/>
    </font>
    <font>
      <name val="ＭＳ Ｐゴシック"/>
      <charset val="128"/>
      <family val="2"/>
      <color theme="1"/>
      <sz val="9"/>
      <scheme val="minor"/>
    </font>
    <font>
      <name val="ＭＳ Ｐゴシック"/>
      <charset val="128"/>
      <family val="3"/>
      <b val="1"/>
      <color rgb="FFC00000"/>
      <sz val="9"/>
      <scheme val="minor"/>
    </font>
    <font>
      <name val="ＭＳ Ｐゴシック"/>
      <charset val="128"/>
      <family val="3"/>
      <color rgb="FFC00000"/>
      <sz val="9"/>
      <scheme val="minor"/>
    </font>
    <font>
      <name val="ＭＳ Ｐゴシック"/>
      <charset val="128"/>
      <family val="3"/>
      <color theme="1"/>
      <sz val="10"/>
      <scheme val="minor"/>
    </font>
    <font>
      <name val="ＭＳ Ｐゴシック"/>
      <charset val="128"/>
      <family val="3"/>
      <sz val="10"/>
      <scheme val="minor"/>
    </font>
    <font>
      <name val="ＭＳ Ｐゴシック"/>
      <charset val="128"/>
      <family val="3"/>
      <b val="1"/>
      <sz val="9"/>
      <scheme val="minor"/>
    </font>
    <font>
      <name val="ＭＳ Ｐゴシック"/>
      <charset val="128"/>
      <family val="2"/>
      <sz val="11"/>
      <scheme val="minor"/>
    </font>
    <font>
      <name val="ＭＳ Ｐゴシック"/>
      <charset val="128"/>
      <family val="3"/>
      <sz val="11"/>
      <scheme val="minor"/>
    </font>
    <font>
      <name val="ＭＳ Ｐゴシック"/>
      <charset val="128"/>
      <family val="3"/>
      <color rgb="FFC00000"/>
      <sz val="11"/>
      <scheme val="minor"/>
    </font>
    <font>
      <name val="游ゴシック"/>
      <charset val="128"/>
      <family val="3"/>
      <sz val="9"/>
    </font>
    <font>
      <name val="游ゴシック"/>
      <charset val="128"/>
      <family val="3"/>
      <b val="1"/>
      <sz val="8"/>
    </font>
    <font>
      <name val="游ゴシック"/>
      <charset val="128"/>
      <family val="3"/>
      <sz val="8"/>
    </font>
    <font>
      <name val="游ゴシック"/>
      <charset val="128"/>
      <family val="3"/>
      <b val="1"/>
      <sz val="14"/>
    </font>
    <font>
      <name val="游ゴシック"/>
      <charset val="128"/>
      <family val="3"/>
      <color rgb="FF666666"/>
      <sz val="9"/>
    </font>
    <font>
      <name val="游ゴシック"/>
      <charset val="128"/>
      <family val="3"/>
      <b val="1"/>
      <color rgb="FFFFFFFF"/>
      <sz val="12"/>
    </font>
    <font>
      <name val="游ゴシック"/>
      <charset val="128"/>
      <family val="3"/>
      <b val="1"/>
      <color rgb="FFFFFFFF"/>
      <sz val="9"/>
    </font>
    <font>
      <name val="游ゴシック"/>
      <charset val="128"/>
      <family val="3"/>
      <b val="1"/>
      <sz val="9"/>
    </font>
  </fonts>
  <fills count="24">
    <fill>
      <patternFill/>
    </fill>
    <fill>
      <patternFill patternType="gray125"/>
    </fill>
    <fill>
      <patternFill patternType="solid">
        <fgColor rgb="FF1B2A4A"/>
      </patternFill>
    </fill>
    <fill>
      <patternFill patternType="solid">
        <fgColor rgb="FF2E7D32"/>
      </patternFill>
    </fill>
    <fill>
      <patternFill patternType="solid">
        <fgColor rgb="FFE65100"/>
      </patternFill>
    </fill>
    <fill>
      <patternFill patternType="solid">
        <fgColor rgb="FF1565C0"/>
      </patternFill>
    </fill>
    <fill>
      <patternFill patternType="solid">
        <fgColor rgb="FFC62828"/>
      </patternFill>
    </fill>
    <fill>
      <patternFill patternType="solid">
        <fgColor rgb="FF2E5E8E"/>
      </patternFill>
    </fill>
    <fill>
      <patternFill patternType="solid">
        <fgColor rgb="FFFFFFFF"/>
      </patternFill>
    </fill>
    <fill>
      <patternFill patternType="solid">
        <fgColor rgb="FFE8EDF3"/>
      </patternFill>
    </fill>
    <fill>
      <patternFill patternType="solid">
        <fgColor rgb="FFFFF8E1"/>
      </patternFill>
    </fill>
    <fill>
      <patternFill patternType="solid">
        <fgColor rgb="FFFFF5E6"/>
      </patternFill>
    </fill>
    <fill>
      <patternFill patternType="solid">
        <fgColor rgb="FFFCE4EC"/>
      </patternFill>
    </fill>
    <fill>
      <patternFill patternType="solid">
        <fgColor rgb="FFF5F5F5"/>
      </patternFill>
    </fill>
    <fill>
      <patternFill patternType="solid">
        <fgColor theme="3"/>
        <bgColor indexed="64"/>
      </patternFill>
    </fill>
    <fill>
      <patternFill patternType="solid">
        <fgColor theme="6" tint="0.7999816888943144"/>
        <bgColor indexed="64"/>
      </patternFill>
    </fill>
    <fill>
      <patternFill patternType="solid">
        <fgColor theme="4" tint="0.7999816888943144"/>
        <bgColor indexed="64"/>
      </patternFill>
    </fill>
    <fill>
      <patternFill patternType="solid">
        <fgColor rgb="FFFCE4D6"/>
        <bgColor indexed="64"/>
      </patternFill>
    </fill>
    <fill>
      <patternFill patternType="solid">
        <fgColor theme="6" tint="0.5999938962981048"/>
        <bgColor indexed="64"/>
      </patternFill>
    </fill>
    <fill>
      <patternFill patternType="solid">
        <fgColor theme="4" tint="0.5999938962981048"/>
        <bgColor indexed="64"/>
      </patternFill>
    </fill>
    <fill>
      <patternFill patternType="solid">
        <fgColor theme="0" tint="-0.1499984740745262"/>
        <bgColor indexed="64"/>
      </patternFill>
    </fill>
    <fill>
      <patternFill patternType="solid">
        <fgColor theme="0"/>
        <bgColor indexed="64"/>
      </patternFill>
    </fill>
    <fill>
      <patternFill patternType="solid">
        <fgColor rgb="FFFFFAF5"/>
        <bgColor indexed="64"/>
      </patternFill>
    </fill>
    <fill>
      <patternFill patternType="solid">
        <fgColor rgb="FFF2F2F2"/>
      </patternFill>
    </fill>
  </fills>
  <borders count="3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theme="1"/>
      </left>
      <right style="medium">
        <color theme="1"/>
      </right>
      <top style="medium">
        <color theme="1"/>
      </top>
      <bottom style="medium">
        <color theme="1"/>
      </bottom>
      <diagonal/>
    </border>
    <border>
      <left style="medium">
        <color rgb="FFC00000"/>
      </left>
      <right style="medium">
        <color rgb="FFC00000"/>
      </right>
      <top style="medium">
        <color rgb="FFC00000"/>
      </top>
      <bottom style="medium">
        <color rgb="FFC00000"/>
      </bottom>
      <diagonal/>
    </border>
    <border>
      <left/>
      <right/>
      <top/>
      <bottom style="thin">
        <color indexed="64"/>
      </bottom>
      <diagonal/>
    </border>
    <border>
      <left style="thin">
        <color indexed="64"/>
      </left>
      <right style="hair">
        <color indexed="64"/>
      </right>
      <top style="thin">
        <color indexed="64"/>
      </top>
      <bottom style="medium">
        <color theme="1"/>
      </bottom>
      <diagonal/>
    </border>
    <border>
      <left style="hair">
        <color indexed="64"/>
      </left>
      <right style="thin">
        <color indexed="64"/>
      </right>
      <top style="thin">
        <color indexed="64"/>
      </top>
      <bottom style="medium">
        <color theme="1"/>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theme="1"/>
      </left>
      <right style="hair">
        <color theme="1"/>
      </right>
      <top style="medium">
        <color theme="1"/>
      </top>
      <bottom style="thin">
        <color indexed="64"/>
      </bottom>
      <diagonal/>
    </border>
    <border>
      <left style="hair">
        <color theme="1"/>
      </left>
      <right style="medium">
        <color theme="1"/>
      </right>
      <top style="medium">
        <color theme="1"/>
      </top>
      <bottom/>
      <diagonal/>
    </border>
    <border>
      <left style="thin">
        <color indexed="64"/>
      </left>
      <right style="medium">
        <color indexed="64"/>
      </right>
      <top style="thin">
        <color indexed="64"/>
      </top>
      <bottom style="thin">
        <color indexed="64"/>
      </bottom>
      <diagonal/>
    </border>
    <border>
      <left style="medium">
        <color indexed="64"/>
      </left>
      <right style="hair">
        <color indexed="64"/>
      </right>
      <top style="medium">
        <color indexed="64"/>
      </top>
      <bottom style="thin">
        <color indexed="64"/>
      </bottom>
      <diagonal/>
    </border>
    <border>
      <left style="hair">
        <color indexed="64"/>
      </left>
      <right/>
      <top style="medium">
        <color theme="1"/>
      </top>
      <bottom style="thin">
        <color indexed="64"/>
      </bottom>
      <diagonal/>
    </border>
    <border>
      <left style="medium">
        <color indexed="64"/>
      </left>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medium">
        <color theme="1"/>
      </left>
      <right style="hair">
        <color theme="1"/>
      </right>
      <top style="thin">
        <color indexed="64"/>
      </top>
      <bottom style="thin">
        <color indexed="64"/>
      </bottom>
      <diagonal/>
    </border>
    <border>
      <left style="hair">
        <color theme="1"/>
      </left>
      <right style="medium">
        <color theme="1"/>
      </right>
      <top style="thin">
        <color indexed="64"/>
      </top>
      <bottom style="thin">
        <color indexed="64"/>
      </bottom>
      <diagonal/>
    </border>
    <border>
      <left style="medium">
        <color theme="1"/>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medium">
        <color indexed="64"/>
      </left>
      <right style="hair">
        <color theme="1"/>
      </right>
      <top style="thin">
        <color indexed="64"/>
      </top>
      <bottom style="thin">
        <color indexed="64"/>
      </bottom>
      <diagonal/>
    </border>
    <border>
      <left style="hair">
        <color theme="1"/>
      </left>
      <right style="medium">
        <color indexed="64"/>
      </right>
      <top style="thin">
        <color indexed="64"/>
      </top>
      <bottom style="thin">
        <color indexed="64"/>
      </bottom>
      <diagonal/>
    </border>
    <border>
      <left style="medium">
        <color theme="1"/>
      </left>
      <right style="hair">
        <color theme="1"/>
      </right>
      <top style="thin">
        <color indexed="64"/>
      </top>
      <bottom style="medium">
        <color theme="1"/>
      </bottom>
      <diagonal/>
    </border>
    <border>
      <left style="hair">
        <color theme="1"/>
      </left>
      <right style="medium">
        <color theme="1"/>
      </right>
      <top style="thin">
        <color indexed="64"/>
      </top>
      <bottom style="medium">
        <color theme="1"/>
      </bottom>
      <diagonal/>
    </border>
    <border>
      <left style="medium">
        <color theme="1"/>
      </left>
      <right style="hair">
        <color indexed="64"/>
      </right>
      <top style="thin">
        <color indexed="64"/>
      </top>
      <bottom style="medium">
        <color theme="1"/>
      </bottom>
      <diagonal/>
    </border>
    <border>
      <left style="hair">
        <color indexed="64"/>
      </left>
      <right/>
      <top style="thin">
        <color indexed="64"/>
      </top>
      <bottom style="medium">
        <color theme="1"/>
      </bottom>
      <diagonal/>
    </border>
    <border>
      <left style="medium">
        <color indexed="64"/>
      </left>
      <right style="hair">
        <color theme="1"/>
      </right>
      <top style="thin">
        <color indexed="64"/>
      </top>
      <bottom style="medium">
        <color indexed="64"/>
      </bottom>
      <diagonal/>
    </border>
    <border>
      <left style="hair">
        <color theme="1"/>
      </left>
      <right style="medium">
        <color indexed="64"/>
      </right>
      <top style="thin">
        <color indexed="64"/>
      </top>
      <bottom style="medium">
        <color indexed="64"/>
      </bottom>
      <diagonal/>
    </border>
    <border>
      <left style="thin">
        <color rgb="FFBFBFBF"/>
      </left>
      <right style="thin">
        <color rgb="FFBFBFBF"/>
      </right>
      <top style="thin">
        <color rgb="FFBFBFBF"/>
      </top>
      <bottom style="thin">
        <color rgb="FFBFBFBF"/>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133">
    <xf numFmtId="0" fontId="0" fillId="0" borderId="0" pivotButton="0" quotePrefix="0" xfId="0"/>
    <xf numFmtId="0" fontId="1" fillId="2" borderId="0" applyAlignment="1" pivotButton="0" quotePrefix="0" xfId="0">
      <alignment vertical="center" wrapText="1"/>
    </xf>
    <xf numFmtId="0" fontId="0" fillId="2" borderId="0" applyAlignment="1" pivotButton="0" quotePrefix="0" xfId="0">
      <alignment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4" fillId="3" borderId="0" applyAlignment="1" pivotButton="0" quotePrefix="0" xfId="0">
      <alignment vertical="center" wrapText="1"/>
    </xf>
    <xf numFmtId="0" fontId="0" fillId="3" borderId="0" applyAlignment="1" pivotButton="0" quotePrefix="0" xfId="0">
      <alignment vertical="center" wrapText="1"/>
    </xf>
    <xf numFmtId="0" fontId="5" fillId="0" borderId="0" applyAlignment="1" pivotButton="0" quotePrefix="0" xfId="0">
      <alignment vertical="center" wrapText="1"/>
    </xf>
    <xf numFmtId="0" fontId="4" fillId="4" borderId="0" applyAlignment="1" pivotButton="0" quotePrefix="0" xfId="0">
      <alignment vertical="center" wrapText="1"/>
    </xf>
    <xf numFmtId="0" fontId="0" fillId="4" borderId="0" applyAlignment="1" pivotButton="0" quotePrefix="0" xfId="0">
      <alignment vertical="center" wrapText="1"/>
    </xf>
    <xf numFmtId="0" fontId="4" fillId="5" borderId="0" applyAlignment="1" pivotButton="0" quotePrefix="0" xfId="0">
      <alignment vertical="center" wrapText="1"/>
    </xf>
    <xf numFmtId="0" fontId="0" fillId="5" borderId="0" applyAlignment="1" pivotButton="0" quotePrefix="0" xfId="0">
      <alignment vertical="center" wrapText="1"/>
    </xf>
    <xf numFmtId="0" fontId="4" fillId="6" borderId="0" applyAlignment="1" pivotButton="0" quotePrefix="0" xfId="0">
      <alignment vertical="center" wrapText="1"/>
    </xf>
    <xf numFmtId="0" fontId="0" fillId="6" borderId="0" applyAlignment="1" pivotButton="0" quotePrefix="0" xfId="0">
      <alignment vertical="center" wrapText="1"/>
    </xf>
    <xf numFmtId="0" fontId="6" fillId="2" borderId="1" applyAlignment="1" pivotButton="0" quotePrefix="0" xfId="0">
      <alignment horizontal="center" vertical="center" wrapText="1"/>
    </xf>
    <xf numFmtId="0" fontId="6"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9" borderId="1" applyAlignment="1" pivotButton="0" quotePrefix="0" xfId="0">
      <alignment vertical="top" wrapText="1"/>
    </xf>
    <xf numFmtId="0" fontId="7" fillId="8" borderId="1" applyAlignment="1" pivotButton="0" quotePrefix="0" xfId="0">
      <alignment vertical="top" wrapText="1"/>
    </xf>
    <xf numFmtId="0" fontId="9" fillId="8" borderId="1" applyAlignment="1" pivotButton="0" quotePrefix="0" xfId="0">
      <alignment vertical="top" wrapText="1"/>
    </xf>
    <xf numFmtId="0" fontId="10" fillId="10" borderId="1" applyAlignment="1" pivotButton="0" quotePrefix="0" xfId="0">
      <alignment vertical="top" wrapText="1"/>
    </xf>
    <xf numFmtId="0" fontId="11" fillId="8" borderId="1" applyAlignment="1" pivotButton="0" quotePrefix="0" xfId="0">
      <alignment horizontal="center" vertical="center" wrapText="1"/>
    </xf>
    <xf numFmtId="0" fontId="7" fillId="13" borderId="1" applyAlignment="1" pivotButton="0" quotePrefix="0" xfId="0">
      <alignment horizontal="center" vertical="center" wrapText="1"/>
    </xf>
    <xf numFmtId="0" fontId="7" fillId="13" borderId="1" applyAlignment="1" pivotButton="0" quotePrefix="0" xfId="0">
      <alignment vertical="top" wrapText="1"/>
    </xf>
    <xf numFmtId="0" fontId="9" fillId="13" borderId="1" applyAlignment="1" pivotButton="0" quotePrefix="0" xfId="0">
      <alignment vertical="top" wrapText="1"/>
    </xf>
    <xf numFmtId="0" fontId="11" fillId="13" borderId="1" applyAlignment="1" pivotButton="0" quotePrefix="0" xfId="0">
      <alignment horizontal="center" vertical="center" wrapText="1"/>
    </xf>
    <xf numFmtId="0" fontId="0" fillId="14" borderId="0" applyAlignment="1" pivotButton="0" quotePrefix="0" xfId="0">
      <alignment vertical="center"/>
    </xf>
    <xf numFmtId="0" fontId="13" fillId="14" borderId="0" applyAlignment="1" pivotButton="0" quotePrefix="0" xfId="0">
      <alignment vertical="center"/>
    </xf>
    <xf numFmtId="0" fontId="0" fillId="0" borderId="0" applyAlignment="1" pivotButton="0" quotePrefix="0" xfId="0">
      <alignment vertical="center"/>
    </xf>
    <xf numFmtId="164" fontId="0" fillId="0" borderId="0" applyAlignment="1" pivotButton="0" quotePrefix="0" xfId="0">
      <alignment vertical="center"/>
    </xf>
    <xf numFmtId="0" fontId="0" fillId="0" borderId="0" applyAlignment="1" pivotButton="0" quotePrefix="0" xfId="0">
      <alignment horizontal="right" vertical="center"/>
    </xf>
    <xf numFmtId="165" fontId="14" fillId="0" borderId="0" applyAlignment="1" pivotButton="0" quotePrefix="0" xfId="0">
      <alignment horizontal="right" vertical="center" wrapText="1"/>
    </xf>
    <xf numFmtId="165" fontId="15" fillId="15" borderId="4" applyAlignment="1" pivotButton="0" quotePrefix="0" xfId="0">
      <alignment vertical="center"/>
    </xf>
    <xf numFmtId="165" fontId="15" fillId="0" borderId="0" applyAlignment="1" pivotButton="0" quotePrefix="0" xfId="0">
      <alignment vertical="center"/>
    </xf>
    <xf numFmtId="165" fontId="15" fillId="16" borderId="4" applyAlignment="1" pivotButton="0" quotePrefix="0" xfId="0">
      <alignment vertical="center"/>
    </xf>
    <xf numFmtId="0" fontId="16" fillId="0" borderId="0" applyAlignment="1" pivotButton="0" quotePrefix="0" xfId="0">
      <alignment horizontal="right" vertical="center"/>
    </xf>
    <xf numFmtId="166" fontId="16" fillId="17" borderId="5" applyAlignment="1" pivotButton="0" quotePrefix="0" xfId="0">
      <alignment vertical="center"/>
    </xf>
    <xf numFmtId="0" fontId="15" fillId="0" borderId="0" applyAlignment="1" pivotButton="0" quotePrefix="0" xfId="0">
      <alignment vertical="center"/>
    </xf>
    <xf numFmtId="0" fontId="17" fillId="18" borderId="0" applyAlignment="1" pivotButton="0" quotePrefix="0" xfId="0">
      <alignment vertical="center"/>
    </xf>
    <xf numFmtId="0" fontId="0" fillId="18" borderId="0" applyAlignment="1" pivotButton="0" quotePrefix="0" xfId="0">
      <alignment vertical="center"/>
    </xf>
    <xf numFmtId="0" fontId="18" fillId="0" borderId="0" applyAlignment="1" pivotButton="0" quotePrefix="0" xfId="0">
      <alignment vertical="center"/>
    </xf>
    <xf numFmtId="0" fontId="15" fillId="19" borderId="0" applyAlignment="1" pivotButton="0" quotePrefix="0" xfId="0">
      <alignment vertical="center"/>
    </xf>
    <xf numFmtId="0" fontId="0" fillId="19" borderId="0" applyAlignment="1" pivotButton="0" quotePrefix="0" xfId="0">
      <alignment vertical="center"/>
    </xf>
    <xf numFmtId="0" fontId="19" fillId="0" borderId="0" applyAlignment="1" pivotButton="0" quotePrefix="0" xfId="0">
      <alignment vertical="center"/>
    </xf>
    <xf numFmtId="0" fontId="20" fillId="0" borderId="0" applyAlignment="1" pivotButton="0" quotePrefix="0" xfId="0">
      <alignment vertical="center"/>
    </xf>
    <xf numFmtId="0" fontId="21" fillId="0" borderId="0" applyAlignment="1" pivotButton="0" quotePrefix="0" xfId="0">
      <alignment vertical="center"/>
    </xf>
    <xf numFmtId="0" fontId="22" fillId="0" borderId="0" applyAlignment="1" pivotButton="0" quotePrefix="0" xfId="0">
      <alignment vertical="center"/>
    </xf>
    <xf numFmtId="0" fontId="23" fillId="0" borderId="0" applyAlignment="1" pivotButton="0" quotePrefix="0" xfId="0">
      <alignment horizontal="right" vertical="center"/>
    </xf>
    <xf numFmtId="165" fontId="22" fillId="0" borderId="1" applyAlignment="1" pivotButton="0" quotePrefix="0" xfId="0">
      <alignment vertical="center"/>
    </xf>
    <xf numFmtId="166" fontId="22" fillId="0" borderId="0" applyAlignment="1" pivotButton="0" quotePrefix="0" xfId="0">
      <alignment vertical="center"/>
    </xf>
    <xf numFmtId="0" fontId="24" fillId="0" borderId="0" applyAlignment="1" pivotButton="0" quotePrefix="0" xfId="0">
      <alignment horizontal="right" vertical="center"/>
    </xf>
    <xf numFmtId="165" fontId="22" fillId="0" borderId="0" applyAlignment="1" pivotButton="0" quotePrefix="0" xfId="0">
      <alignment vertical="center"/>
    </xf>
    <xf numFmtId="0" fontId="25" fillId="0" borderId="0" applyAlignment="1" pivotButton="0" quotePrefix="0" xfId="0">
      <alignment vertical="top"/>
    </xf>
    <xf numFmtId="0" fontId="0" fillId="0" borderId="0" applyAlignment="1" pivotButton="0" quotePrefix="0" xfId="0">
      <alignment vertical="top"/>
    </xf>
    <xf numFmtId="0" fontId="25" fillId="0" borderId="6" applyAlignment="1" pivotButton="0" quotePrefix="0" xfId="0">
      <alignment vertical="top"/>
    </xf>
    <xf numFmtId="0" fontId="26" fillId="0" borderId="6" applyAlignment="1" pivotButton="0" quotePrefix="0" xfId="0">
      <alignment vertical="top"/>
    </xf>
    <xf numFmtId="0" fontId="14" fillId="18" borderId="1" applyAlignment="1" pivotButton="0" quotePrefix="0" xfId="0">
      <alignment vertical="center"/>
    </xf>
    <xf numFmtId="0" fontId="14" fillId="18" borderId="7" applyAlignment="1" pivotButton="0" quotePrefix="0" xfId="0">
      <alignment vertical="center"/>
    </xf>
    <xf numFmtId="0" fontId="14" fillId="18" borderId="8" applyAlignment="1" pivotButton="0" quotePrefix="0" xfId="0">
      <alignment vertical="center"/>
    </xf>
    <xf numFmtId="0" fontId="27" fillId="20" borderId="0" applyAlignment="1" pivotButton="0" quotePrefix="0" xfId="0">
      <alignment vertical="center" wrapText="1"/>
    </xf>
    <xf numFmtId="0" fontId="28" fillId="20" borderId="0" applyAlignment="1" pivotButton="0" quotePrefix="0" xfId="0">
      <alignment vertical="center" wrapText="1"/>
    </xf>
    <xf numFmtId="0" fontId="14" fillId="19" borderId="1" applyAlignment="1" pivotButton="0" quotePrefix="0" xfId="0">
      <alignment vertical="center"/>
    </xf>
    <xf numFmtId="0" fontId="14" fillId="19" borderId="9" applyAlignment="1" pivotButton="0" quotePrefix="0" xfId="0">
      <alignment vertical="center"/>
    </xf>
    <xf numFmtId="0" fontId="14" fillId="19" borderId="10" applyAlignment="1" pivotButton="0" quotePrefix="0" xfId="0">
      <alignment vertical="center"/>
    </xf>
    <xf numFmtId="0" fontId="14" fillId="19" borderId="11" applyAlignment="1" pivotButton="0" quotePrefix="0" xfId="0">
      <alignment horizontal="center" vertical="center"/>
    </xf>
    <xf numFmtId="0" fontId="29" fillId="18" borderId="12" applyAlignment="1" pivotButton="0" quotePrefix="0" xfId="0">
      <alignment vertical="center" wrapText="1"/>
    </xf>
    <xf numFmtId="0" fontId="19" fillId="20" borderId="0" applyAlignment="1" pivotButton="0" quotePrefix="0" xfId="0">
      <alignment vertical="center"/>
    </xf>
    <xf numFmtId="0" fontId="22" fillId="21" borderId="13" applyAlignment="1" pivotButton="0" quotePrefix="0" xfId="0">
      <alignment vertical="center"/>
    </xf>
    <xf numFmtId="0" fontId="22" fillId="22" borderId="14" applyAlignment="1" applyProtection="1" pivotButton="0" quotePrefix="0" xfId="0">
      <alignment vertical="center" shrinkToFit="1"/>
      <protection locked="0" hidden="0"/>
    </xf>
    <xf numFmtId="0" fontId="22" fillId="22" borderId="15" applyAlignment="1" applyProtection="1" pivotButton="0" quotePrefix="0" xfId="0">
      <alignment vertical="center"/>
      <protection locked="0" hidden="0"/>
    </xf>
    <xf numFmtId="0" fontId="22" fillId="20" borderId="0" applyAlignment="1" pivotButton="0" quotePrefix="0" xfId="0">
      <alignment horizontal="right" vertical="center"/>
    </xf>
    <xf numFmtId="0" fontId="27" fillId="20" borderId="0" applyAlignment="1" pivotButton="0" quotePrefix="0" xfId="0">
      <alignment horizontal="right" vertical="center"/>
    </xf>
    <xf numFmtId="0" fontId="30" fillId="0" borderId="0" applyAlignment="1" pivotButton="0" quotePrefix="0" xfId="0">
      <alignment vertical="center"/>
    </xf>
    <xf numFmtId="0" fontId="0" fillId="21" borderId="16" applyAlignment="1" pivotButton="0" quotePrefix="0" xfId="0">
      <alignment vertical="center"/>
    </xf>
    <xf numFmtId="0" fontId="0" fillId="22" borderId="17" applyAlignment="1" applyProtection="1" pivotButton="0" quotePrefix="0" xfId="0">
      <alignment vertical="center" shrinkToFit="1"/>
      <protection locked="0" hidden="0"/>
    </xf>
    <xf numFmtId="0" fontId="0" fillId="22" borderId="18" applyAlignment="1" applyProtection="1" pivotButton="0" quotePrefix="0" xfId="0">
      <alignment horizontal="right" vertical="center"/>
      <protection locked="0" hidden="0"/>
    </xf>
    <xf numFmtId="0" fontId="20" fillId="22" borderId="19" applyAlignment="1" applyProtection="1" pivotButton="0" quotePrefix="0" xfId="0">
      <alignment horizontal="center" vertical="center"/>
      <protection locked="0" hidden="0"/>
    </xf>
    <xf numFmtId="0" fontId="0" fillId="20" borderId="20" applyAlignment="1" applyProtection="1" pivotButton="0" quotePrefix="0" xfId="0">
      <alignment vertical="center"/>
      <protection locked="0" hidden="0"/>
    </xf>
    <xf numFmtId="0" fontId="0" fillId="20" borderId="0" applyAlignment="1" pivotButton="0" quotePrefix="0" xfId="0">
      <alignment horizontal="right" vertical="center"/>
    </xf>
    <xf numFmtId="0" fontId="27" fillId="20" borderId="1" applyAlignment="1" pivotButton="0" quotePrefix="0" xfId="0">
      <alignment vertical="center"/>
    </xf>
    <xf numFmtId="0" fontId="22" fillId="0" borderId="13" applyAlignment="1" pivotButton="0" quotePrefix="0" xfId="0">
      <alignment vertical="center"/>
    </xf>
    <xf numFmtId="0" fontId="22" fillId="22" borderId="21" applyAlignment="1" applyProtection="1" pivotButton="0" quotePrefix="0" xfId="0">
      <alignment vertical="center" shrinkToFit="1"/>
      <protection locked="0" hidden="0"/>
    </xf>
    <xf numFmtId="0" fontId="22" fillId="22" borderId="22" applyAlignment="1" applyProtection="1" pivotButton="0" quotePrefix="0" xfId="0">
      <alignment horizontal="right" vertical="center"/>
      <protection locked="0" hidden="0"/>
    </xf>
    <xf numFmtId="0" fontId="31" fillId="21" borderId="13" applyAlignment="1" pivotButton="0" quotePrefix="0" xfId="0">
      <alignment vertical="center"/>
    </xf>
    <xf numFmtId="0" fontId="31" fillId="22" borderId="23" applyAlignment="1" applyProtection="1" pivotButton="0" quotePrefix="0" xfId="0">
      <alignment vertical="center" shrinkToFit="1"/>
      <protection locked="0" hidden="0"/>
    </xf>
    <xf numFmtId="0" fontId="31" fillId="22" borderId="24" applyAlignment="1" applyProtection="1" pivotButton="0" quotePrefix="0" xfId="0">
      <alignment horizontal="right" vertical="center"/>
      <protection locked="0" hidden="0"/>
    </xf>
    <xf numFmtId="0" fontId="23" fillId="22" borderId="25" applyAlignment="1" applyProtection="1" pivotButton="0" quotePrefix="0" xfId="0">
      <alignment horizontal="center" vertical="center"/>
      <protection locked="0" hidden="0"/>
    </xf>
    <xf numFmtId="0" fontId="22" fillId="20" borderId="26" applyAlignment="1" applyProtection="1" pivotButton="0" quotePrefix="0" xfId="0">
      <alignment vertical="center"/>
      <protection locked="0" hidden="0"/>
    </xf>
    <xf numFmtId="0" fontId="0" fillId="21" borderId="13" applyAlignment="1" pivotButton="0" quotePrefix="0" xfId="0">
      <alignment vertical="center"/>
    </xf>
    <xf numFmtId="0" fontId="0" fillId="22" borderId="23" applyAlignment="1" applyProtection="1" pivotButton="0" quotePrefix="0" xfId="0">
      <alignment vertical="center" shrinkToFit="1"/>
      <protection locked="0" hidden="0"/>
    </xf>
    <xf numFmtId="0" fontId="0" fillId="22" borderId="24" applyAlignment="1" applyProtection="1" pivotButton="0" quotePrefix="0" xfId="0">
      <alignment horizontal="right" vertical="center"/>
      <protection locked="0" hidden="0"/>
    </xf>
    <xf numFmtId="0" fontId="20" fillId="22" borderId="25" applyAlignment="1" applyProtection="1" pivotButton="0" quotePrefix="0" xfId="0">
      <alignment horizontal="center" vertical="center"/>
      <protection locked="0" hidden="0"/>
    </xf>
    <xf numFmtId="0" fontId="22" fillId="20" borderId="26" applyAlignment="1" applyProtection="1" pivotButton="0" quotePrefix="0" xfId="0">
      <alignment horizontal="right" vertical="center"/>
      <protection locked="0" hidden="0"/>
    </xf>
    <xf numFmtId="0" fontId="31" fillId="22" borderId="21" applyAlignment="1" applyProtection="1" pivotButton="0" quotePrefix="0" xfId="0">
      <alignment vertical="center" shrinkToFit="1"/>
      <protection locked="0" hidden="0"/>
    </xf>
    <xf numFmtId="0" fontId="31" fillId="22" borderId="22" applyAlignment="1" applyProtection="1" pivotButton="0" quotePrefix="0" xfId="0">
      <alignment horizontal="right" vertical="center"/>
      <protection locked="0" hidden="0"/>
    </xf>
    <xf numFmtId="0" fontId="0" fillId="22" borderId="21" applyAlignment="1" applyProtection="1" pivotButton="0" quotePrefix="0" xfId="0">
      <alignment vertical="center" shrinkToFit="1"/>
      <protection locked="0" hidden="0"/>
    </xf>
    <xf numFmtId="0" fontId="0" fillId="22" borderId="22" applyAlignment="1" applyProtection="1" pivotButton="0" quotePrefix="0" xfId="0">
      <alignment horizontal="right" vertical="center"/>
      <protection locked="0" hidden="0"/>
    </xf>
    <xf numFmtId="0" fontId="0" fillId="22" borderId="27" applyAlignment="1" applyProtection="1" pivotButton="0" quotePrefix="0" xfId="0">
      <alignment vertical="center" shrinkToFit="1"/>
      <protection locked="0" hidden="0"/>
    </xf>
    <xf numFmtId="0" fontId="0" fillId="22" borderId="28" applyAlignment="1" applyProtection="1" pivotButton="0" quotePrefix="0" xfId="0">
      <alignment horizontal="right" vertical="center"/>
      <protection locked="0" hidden="0"/>
    </xf>
    <xf numFmtId="0" fontId="0" fillId="22" borderId="29" applyAlignment="1" applyProtection="1" pivotButton="0" quotePrefix="0" xfId="0">
      <alignment vertical="center" shrinkToFit="1"/>
      <protection locked="0" hidden="0"/>
    </xf>
    <xf numFmtId="0" fontId="0" fillId="22" borderId="30" applyAlignment="1" applyProtection="1" pivotButton="0" quotePrefix="0" xfId="0">
      <alignment horizontal="right" vertical="center"/>
      <protection locked="0" hidden="0"/>
    </xf>
    <xf numFmtId="0" fontId="20" fillId="22" borderId="31" applyAlignment="1" applyProtection="1" pivotButton="0" quotePrefix="0" xfId="0">
      <alignment horizontal="center" vertical="center"/>
      <protection locked="0" hidden="0"/>
    </xf>
    <xf numFmtId="0" fontId="22" fillId="20" borderId="32" applyAlignment="1" applyProtection="1" pivotButton="0" quotePrefix="0" xfId="0">
      <alignment vertical="center"/>
      <protection locked="0" hidden="0"/>
    </xf>
    <xf numFmtId="0" fontId="31" fillId="0" borderId="0" applyAlignment="1" pivotButton="0" quotePrefix="0" xfId="0">
      <alignment vertical="center"/>
    </xf>
    <xf numFmtId="0" fontId="32" fillId="0" borderId="0" applyAlignment="1" pivotButton="0" quotePrefix="0" xfId="0">
      <alignment vertical="center"/>
    </xf>
    <xf numFmtId="0" fontId="33" fillId="11" borderId="1" applyAlignment="1" pivotButton="0" quotePrefix="0" xfId="0">
      <alignment horizontal="left" vertical="top" wrapText="1"/>
    </xf>
    <xf numFmtId="0" fontId="34" fillId="12" borderId="1" applyAlignment="1" pivotButton="0" quotePrefix="0" xfId="0">
      <alignment horizontal="center" vertical="center" wrapText="1"/>
    </xf>
    <xf numFmtId="0" fontId="35" fillId="12" borderId="1" applyAlignment="1" pivotButton="0" quotePrefix="0" xfId="0">
      <alignment horizontal="center" vertical="center" wrapText="1"/>
    </xf>
    <xf numFmtId="0" fontId="36" fillId="0" borderId="0" pivotButton="0" quotePrefix="0" xfId="0"/>
    <xf numFmtId="0" fontId="37" fillId="0" borderId="0" pivotButton="0" quotePrefix="0" xfId="0"/>
    <xf numFmtId="0" fontId="38" fillId="2" borderId="0" applyAlignment="1" pivotButton="0" quotePrefix="0" xfId="0">
      <alignment horizontal="left" vertical="center" indent="1"/>
    </xf>
    <xf numFmtId="0" fontId="0" fillId="2" borderId="0" pivotButton="0" quotePrefix="0" xfId="0"/>
    <xf numFmtId="0" fontId="39" fillId="7" borderId="33" applyAlignment="1" pivotButton="0" quotePrefix="0" xfId="0">
      <alignment horizontal="center" vertical="center" wrapText="1"/>
    </xf>
    <xf numFmtId="0" fontId="33" fillId="0" borderId="33" applyAlignment="1" pivotButton="0" quotePrefix="0" xfId="0">
      <alignment horizontal="left" vertical="top" wrapText="1"/>
    </xf>
    <xf numFmtId="0" fontId="33" fillId="23" borderId="33" applyAlignment="1" pivotButton="0" quotePrefix="0" xfId="0">
      <alignment horizontal="left" vertical="top" wrapText="1"/>
    </xf>
    <xf numFmtId="0" fontId="33" fillId="12" borderId="33" applyAlignment="1" pivotButton="0" quotePrefix="0" xfId="0">
      <alignment horizontal="left" vertical="top" wrapText="1"/>
    </xf>
    <xf numFmtId="0" fontId="33" fillId="11" borderId="33" applyAlignment="1" pivotButton="0" quotePrefix="0" xfId="0">
      <alignment horizontal="left" vertical="top" wrapText="1"/>
    </xf>
    <xf numFmtId="0" fontId="6" fillId="7" borderId="1" applyAlignment="1" pivotButton="0" quotePrefix="0" xfId="0">
      <alignment horizontal="center" vertical="center" wrapText="1"/>
    </xf>
    <xf numFmtId="0" fontId="0" fillId="0" borderId="2" pivotButton="0" quotePrefix="0" xfId="0"/>
    <xf numFmtId="0" fontId="0" fillId="0" borderId="3" pivotButton="0" quotePrefix="0" xfId="0"/>
    <xf numFmtId="0" fontId="33" fillId="0" borderId="0" applyAlignment="1" pivotButton="0" quotePrefix="0" xfId="0">
      <alignment horizontal="left" vertical="top" wrapText="1"/>
    </xf>
    <xf numFmtId="0" fontId="0" fillId="0" borderId="0" applyAlignment="1" pivotButton="0" quotePrefix="0" xfId="0">
      <alignment vertical="center"/>
    </xf>
    <xf numFmtId="0" fontId="40" fillId="0" borderId="0" applyAlignment="1" pivotButton="0" quotePrefix="0" xfId="0">
      <alignment horizontal="left" vertical="top" wrapText="1"/>
    </xf>
    <xf numFmtId="0" fontId="0" fillId="0" borderId="0" pivotButton="0" quotePrefix="0" xfId="0"/>
    <xf numFmtId="164" fontId="0" fillId="0" borderId="0" applyAlignment="1" pivotButton="0" quotePrefix="0" xfId="0">
      <alignment vertical="center"/>
    </xf>
    <xf numFmtId="165" fontId="14" fillId="0" borderId="0" applyAlignment="1" pivotButton="0" quotePrefix="0" xfId="0">
      <alignment horizontal="right" vertical="center" wrapText="1"/>
    </xf>
    <xf numFmtId="165" fontId="15" fillId="15" borderId="4" applyAlignment="1" pivotButton="0" quotePrefix="0" xfId="0">
      <alignment vertical="center"/>
    </xf>
    <xf numFmtId="165" fontId="15" fillId="0" borderId="0" applyAlignment="1" pivotButton="0" quotePrefix="0" xfId="0">
      <alignment vertical="center"/>
    </xf>
    <xf numFmtId="165" fontId="15" fillId="16" borderId="4" applyAlignment="1" pivotButton="0" quotePrefix="0" xfId="0">
      <alignment vertical="center"/>
    </xf>
    <xf numFmtId="166" fontId="16" fillId="17" borderId="5" applyAlignment="1" pivotButton="0" quotePrefix="0" xfId="0">
      <alignment vertical="center"/>
    </xf>
    <xf numFmtId="165" fontId="22" fillId="0" borderId="1" applyAlignment="1" pivotButton="0" quotePrefix="0" xfId="0">
      <alignment vertical="center"/>
    </xf>
    <xf numFmtId="166" fontId="22" fillId="0" borderId="0" applyAlignment="1" pivotButton="0" quotePrefix="0" xfId="0">
      <alignment vertical="center"/>
    </xf>
    <xf numFmtId="165" fontId="22" fillId="0" borderId="0" applyAlignment="1" pivotButton="0" quotePrefix="0" xfId="0">
      <alignment vertical="center"/>
    </xf>
  </cellXfs>
  <cellStyles count="1">
    <cellStyle name="標準" xfId="0" builtinId="0"/>
  </cellStyles>
  <dxfs count="10">
    <dxf>
      <fill>
        <patternFill>
          <bgColor rgb="FFFFFAF5"/>
        </patternFill>
      </fill>
    </dxf>
    <dxf>
      <fill>
        <patternFill>
          <bgColor theme="6" tint="0.5999633777886288"/>
        </patternFill>
      </fill>
    </dxf>
    <dxf>
      <font>
        <color rgb="FFC00000"/>
      </font>
    </dxf>
    <dxf>
      <fill>
        <patternFill>
          <bgColor rgb="FFFFFAF5"/>
        </patternFill>
      </fill>
    </dxf>
    <dxf>
      <fill>
        <patternFill>
          <bgColor rgb="FFFFFAF5"/>
        </patternFill>
      </fill>
    </dxf>
    <dxf>
      <fill>
        <patternFill>
          <bgColor theme="4" tint="0.7999816888943144"/>
        </patternFill>
      </fill>
    </dxf>
    <dxf>
      <fill>
        <patternFill>
          <bgColor theme="0"/>
        </patternFill>
      </fill>
    </dxf>
    <dxf>
      <fill>
        <patternFill>
          <bgColor rgb="FFFFFAF5"/>
        </patternFill>
      </fill>
    </dxf>
    <dxf>
      <fill>
        <patternFill>
          <bgColor rgb="FFFFFAF5"/>
        </patternFill>
      </fill>
    </dxf>
    <dxf>
      <fill>
        <patternFill>
          <bgColor theme="6" tint="0.799981688894314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from>
      <col>25</col>
      <colOff>57363</colOff>
      <row>24</row>
      <rowOff>55082</rowOff>
    </from>
    <to>
      <col>36</col>
      <colOff>455618</colOff>
      <row>65</row>
      <rowOff>101600</rowOff>
    </to>
    <pic>
      <nvPicPr>
        <cNvPr id="4" name="図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6453063" y="4315932"/>
          <a:ext cx="7103855" cy="6821968"/>
        </a:xfrm>
        <a:prstGeom xmlns:a="http://schemas.openxmlformats.org/drawingml/2006/main" prst="rect">
          <avLst/>
        </a:prstGeom>
        <a:solidFill xmlns:a="http://schemas.openxmlformats.org/drawingml/2006/main">
          <a:srgbClr val="FFFFFF"/>
        </a:solidFill>
        <a:ln xmlns:a="http://schemas.openxmlformats.org/drawingml/2006/main" w="88900" cap="sq">
          <a:solidFill>
            <a:srgbClr val="FFFFFF"/>
          </a:solidFill>
          <a:prstDash val="solid"/>
          <a:miter lim="800000"/>
        </a:ln>
        <a:sp3d xmlns:a="http://schemas.openxmlformats.org/drawingml/2006/main"/>
      </spPr>
    </pic>
    <clientData/>
  </twoCellAnchor>
  <twoCellAnchor>
    <from>
      <col>12</col>
      <colOff>148738</colOff>
      <row>23</row>
      <rowOff>129248</rowOff>
    </from>
    <to>
      <col>24</col>
      <colOff>476250</colOff>
      <row>60</row>
      <rowOff>65249</rowOff>
    </to>
    <pic>
      <nvPicPr>
        <cNvPr id="5" name="図 4"/>
        <cNvPicPr>
          <a:picLocks xmlns:a="http://schemas.openxmlformats.org/drawingml/2006/main" noChangeAspect="1"/>
        </cNvPicPr>
      </nvPicPr>
      <blipFill rotWithShape="1">
        <a:blip xmlns:a="http://schemas.openxmlformats.org/drawingml/2006/main" xmlns:r="http://schemas.openxmlformats.org/officeDocument/2006/relationships" r:embed="rId2"/>
        <a:srcRect xmlns:a="http://schemas.openxmlformats.org/drawingml/2006/main" r="1004"/>
        <a:stretch xmlns:a="http://schemas.openxmlformats.org/drawingml/2006/main">
          <a:fillRect/>
        </a:stretch>
      </blipFill>
      <spPr>
        <a:xfrm xmlns:a="http://schemas.openxmlformats.org/drawingml/2006/main">
          <a:off x="10219838" y="4224998"/>
          <a:ext cx="6042512" cy="6051051"/>
        </a:xfrm>
        <a:prstGeom xmlns:a="http://schemas.openxmlformats.org/drawingml/2006/main" prst="rect">
          <avLst/>
        </a:prstGeom>
        <a:solidFill xmlns:a="http://schemas.openxmlformats.org/drawingml/2006/main">
          <a:srgbClr val="FFFFFF"/>
        </a:solidFill>
        <a:ln xmlns:a="http://schemas.openxmlformats.org/drawingml/2006/main" w="88900" cap="sq">
          <a:solidFill>
            <a:srgbClr val="FFFFFF"/>
          </a:solidFill>
          <a:prstDash val="solid"/>
          <a:miter lim="800000"/>
        </a:ln>
        <a:sp3d xmlns:a="http://schemas.openxmlformats.org/drawingml/2006/main"/>
      </spPr>
    </pic>
    <clientData/>
  </twoCellAnchor>
  <twoCellAnchor editAs="oneCell">
    <from>
      <col>16</col>
      <colOff>423210</colOff>
      <row>0</row>
      <rowOff>150532</rowOff>
    </from>
    <to>
      <col>24</col>
      <colOff>289231</colOff>
      <row>22</row>
      <rowOff>31749</rowOff>
    </to>
    <pic>
      <nvPicPr>
        <cNvPr id="6" name="図 5"/>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1332510" y="150532"/>
          <a:ext cx="4742821" cy="3811867"/>
        </a:xfrm>
        <a:prstGeom xmlns:a="http://schemas.openxmlformats.org/drawingml/2006/main" prst="rect">
          <avLst/>
        </a:prstGeom>
        <a:solidFill xmlns:a="http://schemas.openxmlformats.org/drawingml/2006/main">
          <a:srgbClr val="FFFFFF"/>
        </a:solidFill>
        <a:ln xmlns:a="http://schemas.openxmlformats.org/drawingml/2006/main" w="88900" cap="sq">
          <a:solidFill>
            <a:srgbClr val="FFFFFF"/>
          </a:solidFill>
          <a:prstDash val="solid"/>
          <a:miter lim="800000"/>
        </a:ln>
        <a:sp3d xmlns:a="http://schemas.openxmlformats.org/drawingml/2006/mai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B23"/>
  <sheetViews>
    <sheetView workbookViewId="0">
      <selection activeCell="A1" sqref="A1"/>
    </sheetView>
  </sheetViews>
  <sheetFormatPr baseColWidth="8" defaultRowHeight="13"/>
  <cols>
    <col width="40" customWidth="1" min="1" max="1"/>
    <col width="80" customWidth="1" min="2" max="2"/>
  </cols>
  <sheetData>
    <row r="1" ht="42" customHeight="1">
      <c r="A1" s="1" t="inlineStr">
        <is>
          <t>ヒアリングシートの使い方</t>
        </is>
      </c>
      <c r="B1" s="2" t="n"/>
    </row>
    <row r="2" ht="27.95" customHeight="1">
      <c r="A2" s="3" t="n"/>
      <c r="B2" s="4" t="n"/>
    </row>
    <row r="3" ht="36" customHeight="1">
      <c r="A3" s="5" t="inlineStr">
        <is>
          <t>【このシートの役割】</t>
        </is>
      </c>
      <c r="B3" s="6" t="n"/>
    </row>
    <row r="4" ht="27.95" customHeight="1">
      <c r="A4" s="7" t="n"/>
      <c r="B4" s="4" t="inlineStr">
        <is>
          <t>ヒアリング（聞き取り）で得た情報を、事業計画書の各セクションに対応する形で整理するためのシートです。</t>
        </is>
      </c>
    </row>
    <row r="5" ht="27.95" customHeight="1">
      <c r="A5" s="7" t="n"/>
      <c r="B5" s="4" t="inlineStr">
        <is>
          <t>文字起こしした内容をそのまま作成シートに流すのではなく、このシートで一度整理することで品質が上がります。</t>
        </is>
      </c>
    </row>
    <row r="6" ht="27.95" customHeight="1">
      <c r="A6" s="3" t="n"/>
      <c r="B6" s="4" t="n"/>
    </row>
    <row r="7" ht="36" customHeight="1">
      <c r="A7" s="8" t="inlineStr">
        <is>
          <t>【使い方の流れ】</t>
        </is>
      </c>
      <c r="B7" s="9" t="n"/>
    </row>
    <row r="8" ht="27.95" customHeight="1">
      <c r="A8" s="7" t="n"/>
      <c r="B8" s="4" t="inlineStr">
        <is>
          <t>Step 1：ヒアリング前に質問内容（D列）を確認し、聞き漏らしがないよう準備する</t>
        </is>
      </c>
    </row>
    <row r="9" ht="27.95" customHeight="1">
      <c r="A9" s="7" t="n"/>
      <c r="B9" s="4" t="inlineStr">
        <is>
          <t>Step 2：ヒアリング中または直後に、回答をF列に記入する（箇条書きでOK、体裁は気にしない）</t>
        </is>
      </c>
    </row>
    <row r="10" ht="27.95" customHeight="1">
      <c r="A10" s="7" t="n"/>
      <c r="B10" s="4" t="inlineStr">
        <is>
          <t>Step 3：E列の「確認ポイント」を見て、聞き漏らしがないか点検する</t>
        </is>
      </c>
    </row>
    <row r="11" ht="27.95" customHeight="1">
      <c r="A11" s="7" t="n"/>
      <c r="B11" s="4" t="inlineStr">
        <is>
          <t>Step 4：H列のステータスが「未記入」の項目について、追加ヒアリングが必要か判断する</t>
        </is>
      </c>
    </row>
    <row r="12" ht="27.95" customHeight="1">
      <c r="A12" s="7" t="n"/>
      <c r="B12" s="4" t="inlineStr">
        <is>
          <t>Step 5：全項目が埋まったら、F列の回答を作成シートのG列に振り分ける</t>
        </is>
      </c>
    </row>
    <row r="13" ht="27.95" customHeight="1">
      <c r="A13" s="3" t="n"/>
      <c r="B13" s="4" t="n"/>
    </row>
    <row r="14" ht="36" customHeight="1">
      <c r="A14" s="10" t="inlineStr">
        <is>
          <t>【作成シートとの連携】</t>
        </is>
      </c>
      <c r="B14" s="11" t="n"/>
    </row>
    <row r="15" ht="27.95" customHeight="1">
      <c r="A15" s="7" t="n"/>
      <c r="B15" s="4" t="inlineStr">
        <is>
          <t>G列に「対応する作成シート行」が記載されています。振り分け時にこの番号を参照してください。</t>
        </is>
      </c>
    </row>
    <row r="16" ht="27.95" customHeight="1">
      <c r="A16" s="7" t="n"/>
      <c r="B16" s="4" t="inlineStr">
        <is>
          <t>1つの回答が複数の作成シート行に関係する場合があります。その場合は関係する全ての行にコピーしてください。</t>
        </is>
      </c>
    </row>
    <row r="17" ht="27.95" customHeight="1">
      <c r="A17" s="3" t="n"/>
      <c r="B17" s="4" t="n"/>
    </row>
    <row r="18" ht="36" customHeight="1">
      <c r="A18" s="12" t="inlineStr">
        <is>
          <t>【ヒアリングのコツ】</t>
        </is>
      </c>
      <c r="B18" s="13" t="n"/>
    </row>
    <row r="19" ht="27.95" customHeight="1">
      <c r="A19" s="7" t="n"/>
      <c r="B19" s="4" t="inlineStr">
        <is>
          <t>・数値を必ず聞く（「何人で」「何分かかる」「何件くらい」「いくらかかる」）</t>
        </is>
      </c>
    </row>
    <row r="20" ht="27.95" customHeight="1">
      <c r="A20" s="7" t="n"/>
      <c r="B20" s="4" t="inlineStr">
        <is>
          <t>・具体的なエピソードを聞く（「最近こんなことがあった」「去年は○○だった」）</t>
        </is>
      </c>
    </row>
    <row r="21" ht="27.95" customHeight="1">
      <c r="A21" s="7" t="n"/>
      <c r="B21" s="4" t="inlineStr">
        <is>
          <t>・比較を聞く（「以前と比べて」「競合と比べて」「導入前と導入後で」）</t>
        </is>
      </c>
    </row>
    <row r="22" ht="27.95" customHeight="1">
      <c r="A22" s="7" t="n"/>
      <c r="B22" s="4" t="inlineStr">
        <is>
          <t>・理由・背景を聞く（「なぜそうなった」「きっかけは」「いつ頃から」）</t>
        </is>
      </c>
    </row>
    <row r="23" ht="33" customHeight="1">
      <c r="B23" s="4" t="inlineStr">
        <is>
          <t>・物理的な根拠を聞く（「重くて2人がかり」「機械の容量が300Lまで」「1本ずつ目視」など、ボトルネックの理由）</t>
        </is>
      </c>
    </row>
  </sheetData>
  <pageMargins left="0.75" right="0.75" top="1" bottom="1" header="0.5" footer="0.5"/>
  <pageSetup orientation="landscape" paperSize="8"/>
</worksheet>
</file>

<file path=xl/worksheets/sheet2.xml><?xml version="1.0" encoding="utf-8"?>
<worksheet xmlns="http://schemas.openxmlformats.org/spreadsheetml/2006/main">
  <sheetPr>
    <outlinePr summaryBelow="1" summaryRight="1"/>
    <pageSetUpPr fitToPage="1"/>
  </sheetPr>
  <dimension ref="A1:H72"/>
  <sheetViews>
    <sheetView workbookViewId="0">
      <pane xSplit="3" ySplit="1" topLeftCell="D21" activePane="bottomRight" state="frozen"/>
      <selection pane="topRight" activeCell="A1" sqref="A1"/>
      <selection pane="bottomLeft" activeCell="A1" sqref="A1"/>
      <selection pane="bottomRight" activeCell="E31" sqref="E31"/>
    </sheetView>
  </sheetViews>
  <sheetFormatPr baseColWidth="8" defaultRowHeight="13"/>
  <cols>
    <col width="6" customWidth="1" min="1" max="1"/>
    <col width="18" customWidth="1" min="2" max="2"/>
    <col width="22" customWidth="1" min="3" max="3"/>
    <col width="42" customWidth="1" min="4" max="4"/>
    <col width="38" customWidth="1" min="5" max="5"/>
    <col width="50" customWidth="1" min="6" max="6"/>
    <col width="12" customWidth="1" min="7" max="7"/>
    <col width="10" customWidth="1" min="8" max="8"/>
  </cols>
  <sheetData>
    <row r="1" ht="39.95" customHeight="1">
      <c r="A1" s="14" t="inlineStr">
        <is>
          <t>No.</t>
        </is>
      </c>
      <c r="B1" s="14" t="inlineStr">
        <is>
          <t>対応セクション</t>
        </is>
      </c>
      <c r="C1" s="14" t="inlineStr">
        <is>
          <t>ヒアリング項目</t>
        </is>
      </c>
      <c r="D1" s="14" t="inlineStr">
        <is>
          <t>質問内容
（このまま聞いてOK）</t>
        </is>
      </c>
      <c r="E1" s="14" t="inlineStr">
        <is>
          <t>確認ポイント
（聞き漏らし防止）</t>
        </is>
      </c>
      <c r="F1" s="14" t="inlineStr">
        <is>
          <t>回答記入欄
（箇条書きでOK）</t>
        </is>
      </c>
      <c r="G1" s="14" t="inlineStr">
        <is>
          <t>作成シート
対応行</t>
        </is>
      </c>
      <c r="H1" s="14" t="inlineStr">
        <is>
          <t>ステータス</t>
        </is>
      </c>
    </row>
    <row r="2" ht="16.5" customHeight="1">
      <c r="A2" s="117" t="n"/>
      <c r="B2" s="117" t="inlineStr">
        <is>
          <t>基本情報・事業者情報</t>
        </is>
      </c>
      <c r="C2" s="118" t="n"/>
      <c r="D2" s="118" t="n"/>
      <c r="E2" s="118" t="n"/>
      <c r="F2" s="119" t="n"/>
      <c r="G2" s="117" t="n"/>
      <c r="H2" s="117" t="n"/>
    </row>
    <row r="3" ht="548.0" customHeight="1">
      <c r="A3" s="16" t="n">
        <v>1</v>
      </c>
      <c r="B3" s="17" t="inlineStr">
        <is>
          <t>（1）事業者情報</t>
        </is>
      </c>
      <c r="C3" s="18" t="inlineStr">
        <is>
          <t>会社基本情報</t>
        </is>
      </c>
      <c r="D3" s="19" t="inlineStr">
        <is>
          <t>会社名・代表者名・所在地・業種・設立年・資本金・従業員数を教えてください。</t>
        </is>
      </c>
      <c r="E3" s="20" t="inlineStr">
        <is>
          <t>□ 正式名称（登記上）
□ 代表者のフルネーム
□ 本社所在地
□ 設立年月
□ 資本金額
□ 従業員数（常勤/パート別。常勤の定義：日々雇用・2ヶ月以内・季節4ヶ月以内・試用期間中を除く）
□ 業種（日本標準産業分類・中分類。申請システムのプルダウンと一致させる）
□ 中小企業基本法の要件に該当するか
□ 歯科医業を営む医療法人の場合：都道府県知事認可・従業員300人以下なら対象（開設許可証＋開設届の提出）</t>
        </is>
      </c>
      <c r="F3" s="105" t="inlineStr">
        <is>
          <t xml:space="preserve">・正式名称：株式会社トンボ飲料（トンボ飲料グループ。100%子会社のバランス㈱（同住所、資本金1,000万円）が自社製品の販売を担い、当社は製造を担う。ほかに㈱サンコーフーズ（100%子会社）あり）
・代表者：代表取締役社長 翠田 圭吾（2026年6月17日付で就任。前社長の翠田 章男氏は代表取締役会長に。創業130周年の節目での新体制。出典：トンボ飲料グループ発表 2026/6/18 https://www.tombow-b.jp/4340/）
・本社所在地：富山県富山市下赤江町1丁目6番34号
・設立：昭和37年10月11日（創業1896年・明治29年、ラムネ製造から）。法人番号 3230001001888
・資本金：66,000,000円（発行済株式12,300株）
・役員数：7名（確定）
・従業員数の使い分け（9/30確認済み）：①申請時点の常勤従業員数 177名（その1（1）事業者情報・申請システムに使用）②直近決算期末（2026年3月20日）181名（決算書・事業概況書。2026/3期の労働生産性の実績計算に使用）③全月分の給与支給を受けた従業員 166名（2026/3期の1人当たり給与支給総額4,319,298円の分母）
・従業員数の計画：2027/3期（進行期）177名→2028/3期（基準年度）181名→2029/3期184名→2030/3期188名→2031/3期191名（毎年3〜4名の新卒採用を上乗せ、退職は見込まない）。全月分の給与支給を受ける従業員数も同じ人数で計画（今期は177名、来期以降は＋採用人数）
・常勤／パート別の内訳：未ヒアリング（製袋室の投入担当はパート、オペレーターは社員）
・業種：E製造業／中分類10 飲料・たばこ・飼料製造業／小分類101 清涼飲料製造業／細分類1011
・決算期：3月（事業年度は3月21日〜翌年3月20日。決算日は3月20日で、31日ではない）
・中小企業基本法の要件（製造業：資本金3億円以下 or 従業員300人以下）：資本金6,600万円で該当</t>
        </is>
      </c>
      <c r="G3" s="21" t="inlineStr">
        <is>
          <t>行2</t>
        </is>
      </c>
      <c r="H3" s="106" t="inlineStr">
        <is>
          <t xml:space="preserve">記入済（従業員内訳は未）</t>
        </is>
      </c>
    </row>
    <row r="4" ht="173.0" customHeight="1">
      <c r="A4" s="16" t="n">
        <v>2</v>
      </c>
      <c r="B4" s="17" t="inlineStr">
        <is>
          <t>（1）事業者情報</t>
        </is>
      </c>
      <c r="C4" s="18" t="inlineStr">
        <is>
          <t>作成支援者の確認</t>
        </is>
      </c>
      <c r="D4" s="19" t="inlineStr">
        <is>
          <t>事業計画書の作成にあたり、外部の支援（認定支援機関・コンサルタント等）を受けますか？
受ける場合、支援者名・報酬額・契約期間を教えてください。</t>
        </is>
      </c>
      <c r="E4" s="20" t="inlineStr">
        <is>
          <t>□ 外部支援の有無
□ 支援者名（認定支援機関番号があれば）
□ 報酬額・契約期間
□ 未記載は虚偽扱い（不採択・返還・公表）になることの説明
□ 申請担当者は自社の役員・従業員に限ることの説明
□ 口頭審査には支援者が同席できないこと（事業者自身が内容を説明できる必要）の説明</t>
        </is>
      </c>
      <c r="F4" s="105" t="inlineStr">
        <is>
          <t xml:space="preserve">・外部支援：あり。株式会社ライズウィル（計画書作成支援）
・報酬額・契約期間：（空欄。申請前に記入）
・認定支援機関番号の有無：要確認
・申請担当者は自社の役員・従業員（沖野常務・山崎常務ほか）から選任する前提。作成支援者欄の未記載は虚偽扱い（不採択・返還・公表）になるため必ず記載する
・口頭審査は支援者同席不可のため、統括責任者（沖野 常務取締役 生産統括本部長兼工場長）が説明できる内容にする</t>
        </is>
      </c>
      <c r="G4" s="21" t="inlineStr">
        <is>
          <t>行3</t>
        </is>
      </c>
      <c r="H4" s="106" t="inlineStr">
        <is>
          <t xml:space="preserve">記入済（報酬・期間は空欄）</t>
        </is>
      </c>
    </row>
    <row r="5" ht="128.0" customHeight="1">
      <c r="A5" s="22" t="n">
        <v>3</v>
      </c>
      <c r="B5" s="17" t="inlineStr">
        <is>
          <t>（2）事業計画名</t>
        </is>
      </c>
      <c r="C5" s="23" t="inlineStr">
        <is>
          <t>計画名称</t>
        </is>
      </c>
      <c r="D5" s="24" t="inlineStr">
        <is>
          <t>この省力化投資を一言で言うと何ですか？
「○○を導入して、△△を省力化する」という形で教えてください。</t>
        </is>
      </c>
      <c r="E5" s="20" t="inlineStr">
        <is>
          <t>□ 導入する設備名が入っているか
□ 省力化する対象業務が入っているか
□ 30字程度に収まるか（第7回様式で「以内」→「程度」に緩和。簡潔さは維持）</t>
        </is>
      </c>
      <c r="F5" s="105" t="inlineStr">
        <is>
          <t xml:space="preserve">【案】パウチ自動供給装置の導入によるパウチゼリー製袋工程の省力化（29字）
・設備名：パウチ自動供給装置（ロボットアーム式）
・対象業務：Gライン製袋室での空パウチのマガジン手投入
・別案：「ロボット供給機導入によるパウチ投入工程の自動化と夜間安定稼働の実現」</t>
        </is>
      </c>
      <c r="G5" s="25" t="inlineStr">
        <is>
          <t>行5</t>
        </is>
      </c>
      <c r="H5" s="107" t="inlineStr">
        <is>
          <t xml:space="preserve">記入済（案）</t>
        </is>
      </c>
    </row>
    <row r="6" ht="128.1" customHeight="1">
      <c r="A6" s="16" t="n">
        <v>4</v>
      </c>
      <c r="B6" s="17" t="inlineStr">
        <is>
          <t>（3）事業計画概要</t>
        </is>
      </c>
      <c r="C6" s="18" t="inlineStr">
        <is>
          <t>計画概要</t>
        </is>
      </c>
      <c r="D6" s="19" t="inlineStr">
        <is>
          <t>今回の計画を100字程度で説明するとしたら、どう説明しますか？
「○○が課題で、△△を導入して、□□を実現する」の流れで教えてください。</t>
        </is>
      </c>
      <c r="E6" s="20" t="inlineStr">
        <is>
          <t>□ 人手不足の現状が入っているか
□ 投資内容（設備名）が入っているか
□ 期待される効果が入っているか</t>
        </is>
      </c>
      <c r="F6" s="105" t="inlineStr">
        <is>
          <t xml:space="preserve">【案】パウチゼリーの製袋工程では、袋を機械へ手で詰める作業（3分詰めて5分で空）に1名が付きっきりで、夜勤は派遣が確保できず社員のカバー出勤が常態化している。ロボット式のパウチ自動供給装置を導入し、投入作業を自動化して1日約13時間の作業時間を創出、投入担当なしで17.5時間稼働を維持し、生まれた人員を多能工化・品質管理・提案型ODMへ振り向ける。（約150字→100字程度に圧縮要）</t>
        </is>
      </c>
      <c r="G6" s="21" t="inlineStr">
        <is>
          <t>行6</t>
        </is>
      </c>
      <c r="H6" s="107" t="inlineStr">
        <is>
          <t xml:space="preserve">記入済（案）</t>
        </is>
      </c>
    </row>
    <row r="7" ht="383.0" customHeight="1">
      <c r="A7" s="22" t="n">
        <v>5</v>
      </c>
      <c r="B7" s="17" t="inlineStr">
        <is>
          <t>（4）補助経費</t>
        </is>
      </c>
      <c r="C7" s="23" t="inlineStr">
        <is>
          <t>設備費用</t>
        </is>
      </c>
      <c r="D7" s="24" t="inlineStr">
        <is>
          <t>導入予定の設備について、名前・型番・メーカー名・数量・単価（税抜）を教えてください。</t>
        </is>
      </c>
      <c r="E7" s="20" t="inlineStr">
        <is>
          <t>□ 設備名
□ 型番
□ メーカー名
□ 数量
□ 単価（税抜）
□ 合計額（税抜）
□ 単価50万円（税抜）以上の機械装置・システムが1つ以上あるか（必須要件）
□ 機械装置・システム構築費以外の経費は総額500万円（税抜）までであることの確認
□ 参考見積書・カタログ等の取得状況（応募時提出が必須。事前着手に注意）
□ 交付申請時は50万円以上の契約先ごとに相見積もりが必要になることの説明</t>
        </is>
      </c>
      <c r="F7" s="105" t="inlineStr">
        <is>
          <t xml:space="preserve">■見積：株式会社フジシール（兵庫県尼崎市潮江5-9-11）見積No.20260924（2026/9/24）、税抜・概算、契約時／納入時／検収時 各1/3払い
・パウチ自動供給装置（ロボットアーム式供給）1式 55,250,000円
・専用パレット（5段積×4列 機内25枚＋予備65枚）90枚 @350,000 ＝31,500,000円
・仮置き台車 17台 @120,000 ＝2,040,000円
・装置輸送費（車上渡し）1式 300,000円
・既設SPM機 改造部品・設計変更費 1式 3,600,000円
・現地改造工事費（工事〜調整〜生産立会 約11日）1式 4,100,000円
・小計96,790,000円 − 値引き4,790,000円 ＝ 合計 92,000,000円（税抜）
・補助率1/2 → 補助金額 46,000,000円
・型番：なし（当社専用のオーダーメイド設備）。メーカー資料：提案資料2025/12/22・2026/3/25、見積書2026/9/24（取得済み）
・値引き行の削除と名称の修正をメーカーへ依頼中（総額92,000,000円は変わらない）
□要確認：輸送費・現地工事費（計440万円）が「機械装置・システム構築費以外」の扱いになる場合も500万円以内に収まる。単価50万円以上の機械装置あり（要件OK）</t>
        </is>
      </c>
      <c r="G7" s="25" t="inlineStr">
        <is>
          <t>行7</t>
        </is>
      </c>
      <c r="H7" s="107" t="inlineStr">
        <is>
          <t xml:space="preserve">記入済（見積修正待ち）</t>
        </is>
      </c>
    </row>
    <row r="8" ht="16.5" customHeight="1">
      <c r="A8" s="117" t="n"/>
      <c r="B8" s="117" t="inlineStr">
        <is>
          <t>1. 事業者の概要（現状分析・経営課題）</t>
        </is>
      </c>
      <c r="C8" s="118" t="n"/>
      <c r="D8" s="118" t="n"/>
      <c r="E8" s="118" t="n"/>
      <c r="F8" s="119" t="n"/>
      <c r="G8" s="117" t="n"/>
      <c r="H8" s="117" t="n"/>
    </row>
    <row r="9" ht="323.0" customHeight="1">
      <c r="A9" s="16" t="n">
        <v>6</v>
      </c>
      <c r="B9" s="17" t="inlineStr">
        <is>
          <t>1. 事業者の概要</t>
        </is>
      </c>
      <c r="C9" s="18" t="inlineStr">
        <is>
          <t>当社概要</t>
        </is>
      </c>
      <c r="D9" s="19" t="inlineStr">
        <is>
          <t>御社の事業内容を教えてください。
何を作っている（提供している）会社で、主なお客様は誰ですか？</t>
        </is>
      </c>
      <c r="E9" s="20" t="inlineStr">
        <is>
          <t>□ 主力事業の内容
□ 主要顧客（業種・規模）
□ 取引先数
□ 創業の経緯・沿革
□ 「何に強い会社か」が一言で言えるか</t>
        </is>
      </c>
      <c r="F9" s="105" t="inlineStr">
        <is>
          <t xml:space="preserve">・清涼飲料・ゼリー飲料のOEM/ODM受託製造が売上の約8割（第65期事業概況書：受託9,320百万円＝83.4%）、自社グループ製品（セレブレ、シャンメリー、パワミナ、ラクーナ、カップゼリー等。販売は100%子会社のバランス㈱）が約2割（バランス部門1,463百万円＝13.0%＋自社商品385百万円＝3.4%）
・主要受託先：イオントップバリュ（取引25〜30年・ODM中心）、ヤクルト（7〜8年）、森永乳業（15〜20年・OEM）、明治（10年・OEM）、大正製薬、味の素 など各業界を代表する大手
・製造ライン5本：A・D＝ドリンク類（セレブレ・シャンメリー等）、F＝スティックゼリー、E・G＝パウチゼリー（本事業の対象はGライン。Eも同型で同規模）
・Gラインの製品：森永・明治・大正製薬・味の素向けと自社グループ製品（イオン向けは外注、ヤクルトはドリンクのためGラインでは製造しない→計画書にはあえて書かない）
・強みを一言で：130年培った「トータルの味づくり」と、企画・処方開発から充填・検査まで一貫対応できるOEM/ODM体制（FSSC22000・ISO9001）</t>
        </is>
      </c>
      <c r="G9" s="21" t="inlineStr">
        <is>
          <t>行9</t>
        </is>
      </c>
      <c r="H9" s="107" t="inlineStr">
        <is>
          <t xml:space="preserve">記入済</t>
        </is>
      </c>
    </row>
    <row r="10" ht="308.0" customHeight="1">
      <c r="A10" s="22" t="n">
        <v>7</v>
      </c>
      <c r="B10" s="17" t="inlineStr">
        <is>
          <t>1. 事業者の概要</t>
        </is>
      </c>
      <c r="C10" s="23" t="inlineStr">
        <is>
          <t>経営理念・ビジョン</t>
        </is>
      </c>
      <c r="D10" s="24" t="inlineStr">
        <is>
          <t>御社の経営理念やミッション（大切にしていること）を教えてください。
また、5年後・10年後にどんな会社にしたいですか？</t>
        </is>
      </c>
      <c r="E10" s="20" t="inlineStr">
        <is>
          <t>□ 経営理念の文言
□ ミッション・ビジョン
□ 省力化投資が理念実現にどうつながるか
□ 長期ビジョン（5年後・10年後）
□ 新規事業の構想があるか</t>
        </is>
      </c>
      <c r="F10" s="105" t="inlineStr">
        <is>
          <t xml:space="preserve">＜経営理念＞1．我々は、難度の高い仕事に取り組むことにより、人間として成長する 2．良質な水資源を守り、地球環境に資するとともに、水の豊かな富山に根ざすからこそ可能な、心と体にうるおいをお届けする企業であり続ける
・使命：「食により人を良くする」。フードソリューションカンパニー（受託製造）とライフサポートカンパニー（自社製品）の2つの顔
・長期ビジョン：「2035ビジョン」売上高300億円。品質・労働環境・高収益を両立した「次世代型飲料製造メーカー」
・本事業の位置づけ：「人に依存しない次世代型製造拠点」構築の第一歩（Gライン→Eライン等へ横展開）
・新体制：2026年6月17日に翠田圭吾社長が就任（創業130周年）。経営理念のもと「さらなる挑戦と成長」を掲げ、本事業はその具体策
・新規事業構想：販売面の展開はグループ会社のバランス㈱が担い、当社（製造）は本事業のような製造基盤の強化が中心</t>
        </is>
      </c>
      <c r="G10" s="25" t="inlineStr">
        <is>
          <t>行10, 14</t>
        </is>
      </c>
      <c r="H10" s="107" t="inlineStr">
        <is>
          <t xml:space="preserve">記入済</t>
        </is>
      </c>
    </row>
    <row r="11" ht="203.0" customHeight="1">
      <c r="A11" s="16" t="n">
        <v>8</v>
      </c>
      <c r="B11" s="17" t="inlineStr">
        <is>
          <t>1. 事業者の概要</t>
        </is>
      </c>
      <c r="C11" s="18" t="inlineStr">
        <is>
          <t>経営戦略</t>
        </is>
      </c>
      <c r="D11" s="19" t="inlineStr">
        <is>
          <t>御社の事業の進め方（戦略）について教えてください。
どの分野に注力していますか？今後の成長の方向性は？</t>
        </is>
      </c>
      <c r="E11" s="20" t="inlineStr">
        <is>
          <t>□ 事業領域の定義
□ 成長戦略（既存拡大 or 新規展開）
□ 経営資源の配分方針
□ 人手不足への対応方針</t>
        </is>
      </c>
      <c r="F11" s="105" t="inlineStr">
        <is>
          <t xml:space="preserve">・事業領域：自社ブランドで培った味づくりを基盤に、企画・処方開発から充填・検査まで一貫して担う「提案型OEM/ODMモデル」
・成長戦略3本柱：①製造能力の抜本的強化（労働集約ラインの段階的自動化。本事業のGライン自動供給機を第一歩にEライン等へ横展開）②高付加価値市場（健康・美容・機能性飲料）への深耕と提案型ODMの強化（OEMは薄利、ODMは利益率が高い）③人材の高度化（単純作業を機械に代替し、品質保証・段取り・他ライン支援へ再配置）
・人手不足への対応方針：採用（新卒を年3〜4名継続）だけに頼らず、投入のような反復作業は設備で置き換える</t>
        </is>
      </c>
      <c r="G11" s="21" t="inlineStr">
        <is>
          <t>行11</t>
        </is>
      </c>
      <c r="H11" s="107" t="inlineStr">
        <is>
          <t xml:space="preserve">記入済</t>
        </is>
      </c>
    </row>
    <row r="12" ht="263.0" customHeight="1">
      <c r="A12" s="22" t="n">
        <v>9</v>
      </c>
      <c r="B12" s="17" t="inlineStr">
        <is>
          <t>1. 事業者の概要</t>
        </is>
      </c>
      <c r="C12" s="23" t="inlineStr">
        <is>
          <t>事業コンセプト</t>
        </is>
      </c>
      <c r="D12" s="24" t="inlineStr">
        <is>
          <t>御社の商品・サービスは、どのエリアの、どんなお客様に向けたものですか？
競合と比べて、御社ならではの強みは何ですか？</t>
        </is>
      </c>
      <c r="E12" s="20" t="inlineStr">
        <is>
          <t>□ 対象エリア
□ ターゲット顧客の具体像
□ 提供サービス・商品の特徴
□ 競合との差別化ポイント
□ 顧客に提供している価値
□ デジタル技術・イノベーション要素</t>
        </is>
      </c>
      <c r="F12" s="105" t="inlineStr">
        <is>
          <t xml:space="preserve">・対象エリア：全国のブランドオーナー（食品・飲料メーカー、小売PB、医薬品メーカー）。富山の名水を活かした製造拠点
・ターゲット：健康・美容・機能性飲料市場に参入するブランドオーナー、高付加価値商品の安定供給を求める食品・医薬品・飲料メーカー
・提供価値：①品質・安全価値（FSSC22000・ISO9001、富山の水）②開発・提案価値（原料・配合・容量など顧客ごとの仕様に対応）③安定供給価値（小ロット多品種〜大ロット。品種切替が速い）
・競合との差別化：130年の技術力、酸味・甘味・香り・泡感まで総合設計する「トータルの味づくり」、パウチ（スタンディング・サイドガゼット）や多様なガラス瓶に対応できる設備、大手との長期取引実績
・デジタル要素：本事業でロボット供給を導入（工場全体のデジタル化状況は未ヒアリング）</t>
        </is>
      </c>
      <c r="G12" s="25" t="inlineStr">
        <is>
          <t>行12, 13</t>
        </is>
      </c>
      <c r="H12" s="107" t="inlineStr">
        <is>
          <t xml:space="preserve">記入済</t>
        </is>
      </c>
    </row>
    <row r="13" ht="533.0" customHeight="1">
      <c r="A13" s="16" t="n">
        <v>10</v>
      </c>
      <c r="B13" s="17" t="inlineStr">
        <is>
          <t>1. 事業者の概要</t>
        </is>
      </c>
      <c r="C13" s="18" t="inlineStr">
        <is>
          <t>売上構成・財務</t>
        </is>
      </c>
      <c r="D13" s="19" t="inlineStr">
        <is>
          <t>事業別の売上構成比を教えてください（円グラフで使います）。
また、直近3～5年の売上推移と、主な財務指標を教えてください。</t>
        </is>
      </c>
      <c r="E13" s="20" t="inlineStr">
        <is>
          <t>□ 事業別売上構成比（%）
□ 直近3～5年の売上推移
□ 流動比率
□ 自己資本比率
□ 現預金残高
□ 営業利益の推移</t>
        </is>
      </c>
      <c r="F13" s="105" t="inlineStr">
        <is>
          <t xml:space="preserve">・売上構成（第65期事業概況書、百万円）：受託9,320（83.4%）／バランス部門（グループ製品）1,463（13.0%）／自社商品385（3.4%）／合計11,168。Gライン（パウチゼリー）売上は約14億円で全社売上の約13%。同型のEラインも同規模（パウチゼリー計で約1/4）
・売上推移：2024/3期 11,049,970,787円 → 2025/3期 11,640,761,439円 → 2026/3期 11,168,904,537円（前期比△4.1%）
・売上総利益：1,099,236,483円 → 1,168,679,639円 → 1,051,124,277円（粗利率9.4%）
・営業利益：358,962,501円 → 384,727,030円 → 204,823,050円（営業利益率1.8%。原材料・人件費の上昇に価格転嫁が追いつかず減益。エネルギー価格の影響は小さい）
・2026/3期：経常利益205,886,748円、当期純利益145,623,776円、人件費計1,021,940,577円、減価償却費298,864,468円、付加価値額（営業利益＋人件費＋償却）1,525,628,095円
・財務指標（2026/3期＝令和8年3月20日）：総資産61.7億円、純資産15.9億円（自己資本比率25.8%、前期22.1%）、現預金9.1億円（前期12.0億円）、流動資産32.3億円／流動負債33.7億円（流動比率95.9%、前期104.5%）、借入金17.4億円（1年内5.4億＋長期12.1億。前期18.3億から減少）、建設仮勘定4.3億円あり
・参照用収支計画（2026/3期）との照合：売上・原価・販管費・営業利益・経常利益・人件費の内訳・減価償却費はすべて決算書と一致（画像PDFを目視＋検算で確認済み）
・OEMの単価水準：森永 売価106円／みなし原価110円、明治 58／59円、大正製薬 60／66円（工場経費込みだと赤字スレスレ）。ODM：イオン 売価56円／原価44円。加工賃は1個7〜15円前後＋原材料費を売上計上</t>
        </is>
      </c>
      <c r="G13" s="21" t="inlineStr">
        <is>
          <t>行15, 16</t>
        </is>
      </c>
      <c r="H13" s="106" t="inlineStr">
        <is>
          <t xml:space="preserve">記入済</t>
        </is>
      </c>
    </row>
    <row r="14" ht="16.5" customHeight="1">
      <c r="A14" s="117" t="n"/>
      <c r="B14" s="117" t="inlineStr">
        <is>
          <t>1-1. 現状分析（外部・内部環境）</t>
        </is>
      </c>
      <c r="C14" s="118" t="n"/>
      <c r="D14" s="118" t="n"/>
      <c r="E14" s="118" t="n"/>
      <c r="F14" s="119" t="n"/>
      <c r="G14" s="117" t="n"/>
      <c r="H14" s="117" t="n"/>
    </row>
    <row r="15" ht="409.5" customHeight="1">
      <c r="A15" s="22" t="n">
        <v>11</v>
      </c>
      <c r="B15" s="17" t="inlineStr">
        <is>
          <t>1-1 現状分析</t>
        </is>
      </c>
      <c r="C15" s="23" t="inlineStr">
        <is>
          <t>外部環境：政治・制度</t>
        </is>
      </c>
      <c r="D15" s="24" t="inlineStr">
        <is>
          <t>御社の業界に関係する法律や制度の変化はありますか？
（補助金制度、規制強化、政策支援など）</t>
        </is>
      </c>
      <c r="E15" s="20" t="inlineStr">
        <is>
          <t>□ ポジティブ要因（補助金、規制緩和、政策支援）
□ ネガティブ要因（規制強化、人手不足対策の遅れ）
□ 公的データの裏付け</t>
        </is>
      </c>
      <c r="F15" s="105" t="inlineStr">
        <is>
          <t xml:space="preserve">・ポジティブ：中小企業省力化投資補助金（本申請）、防災・備蓄政策の拡充によるパウチゼリー・機能性飲料の需要拡大、健康・美容志向の高まり
・ネガティブ：最低賃金の毎年引上げ。富山県の地域別最低賃金は2026年10月1日から時給1,119円。現在の事業場内最低賃金1,140円との差は＋21円で要件（＋30円以上）に不足するため、1,149円以上（計画では1,150円以上）へ引き上げる
・食品安全規制の高度化（FSSC22000・ISO9001で対応済み）
・公的データの裏付け：未取得（清涼飲料市場・ゼリー飲料市場の統計、富山県の最低賃金推移を計画書作成時に調査）
【補足調査（2026/9/30 当社調べ、公的資料）】
・追い風：骨太方針2026（2026/7/21閣議決定）「省力化投資促進プランを着実に実行…充実・拡充」「稼ぐ力の強化と賃上げの好循環」／省力化投資促進プラン（食品製造業、2025/6閣議決定）：食品製造業の労働生産性を2029年度までに24%向上、ロボット導入の衛生・安全ガイドライン整備（農林水産省）／2026年版中小企業白書「現状維持は最大のリスク」／防災：南海トラフ地震防災対策推進基本計画（2025/7）「最低3日、可能な限り1週間分の備蓄」、農水省「要配慮者のための災害時に備えた食品ストックガイド」（令和8年9月改訂）が高齢者・嚥下困難者向けにパウチゼリー系の栄養補助食品・スマイルケア食を推奨／令和8年度診療報酬改定で嚥下調整食が特別食加算対象（日本介護食品協議会 2026/6）
・向かい風：最低賃金 2030年代前半に全国平均1,500円（骨太方針2026）／HACCP制度化（2021/6完全施行）、容器包装ポジティブリスト制度 完全施行（2025/6/1、パウチ包材の合成樹脂が対象）、機能性表示食品制度の厳格化（健康被害報告義務2024/9、サプリ形状のGMP要件化2026/9）→FSSC22000・ISO9001で対応済み＝品質体制の整った受託先への集約という追い風に転換</t>
        </is>
      </c>
      <c r="G15" s="25" t="inlineStr">
        <is>
          <t>行17</t>
        </is>
      </c>
      <c r="H15" s="107" t="inlineStr">
        <is>
          <t xml:space="preserve">要追加確認（市場データ）</t>
        </is>
      </c>
    </row>
    <row r="16" ht="409.5" customHeight="1">
      <c r="A16" s="16" t="n">
        <v>12</v>
      </c>
      <c r="B16" s="17" t="inlineStr">
        <is>
          <t>1-1 現状分析</t>
        </is>
      </c>
      <c r="C16" s="18" t="inlineStr">
        <is>
          <t>外部環境：経済</t>
        </is>
      </c>
      <c r="D16" s="19" t="inlineStr">
        <is>
          <t>御社の業界の市場は成長していますか？縮小していますか？
原材料費や人件費の変動はどうですか？</t>
        </is>
      </c>
      <c r="E16" s="20" t="inlineStr">
        <is>
          <t>□ 市場規模・成長率のデータ
□ 原材料費の動向
□ 人件費の上昇傾向
□ 為替の影響</t>
        </is>
      </c>
      <c r="F16" s="105" t="inlineStr">
        <is>
          <t xml:space="preserve">・市場：高齢化・ウェルネス志向で機能性ゼリー・美容飲料（パウチ）の需要が拡大。ブランドオーナー（異業種含む）からのOEM/ODM引き合いが増加。製品ライフサイクルの短期化で小ロット多品種対応の価値が上昇
・原材料・資材・エネルギー・物流費の高騰：原材料・人件費が上昇する一方、製品価格への転嫁が追いつかず2026/3期は営業利益が3.85億円→2.05億円に減少（エネルギー価格の影響は大きくない）
・人件費：2026年4月に総額ベース約5%の賃上げを実施
・為替：未ヒアリング（アルミパウチ等の輸入資材の影響があれば追記）
・市場規模の数値データ：要調査
【補足調査（2026/9/30 当社調べ、公的資料）】
・市場：清涼飲料の生産者販売金額 2021年3兆8,909億円→2025年4兆9,825億円（4年で約28%増、2025年は前年比+5.3%）、生産量2025年23,110,200kl（前年比97.9%）（全国清涼飲料連合会「清涼飲料水統計2026」2026/5）／委託製造（OEM）比率30.1%（2025年、前年28.1%）／ゼリー飲料（果汁10%未満）生産量 2022年11,300kl→2024年13,100kl（+15.9%）、2025年9,600kl（前年比73.3%、酷暑・節約志向で一時反落）、小売市場約1,000億円（インテージSRI+ 2023年990億円）／清涼飲料の機能性表示食品生産量 2021年64,225千ケース→2025年124,691千ケース（約1.9倍）／機能性表示食品市場7,735億円（+4.1%）、H・Bフーズ市場2兆9,265億円（富士経済 2026/5）／UDF生産額583億円（2025年、+3.5%、業務用+8.1%）（日本介護食品協議会 2026/6）／介護食加工食品市場 2025年度2,072億円→2030年度2,245億円（矢野経済研究所 2026/9）
・コスト：国内企業物価 2026年8月 前年比+7.6%、飲食料品+4.3%、プラスチック製品+11.2%、電力・ガス・水道+8.0%（日本銀行 2026/9/11）／食品値上げ2025年20,609品目、2026年も2万品目台見込み。要因は原材料高90.7%・包装資材81.3%・人件費66.0%（帝国データバンク）／パウチ等「その他容器」の飲料生産量は2025年前年比89.4%と減少（全清飲）→機能性・介護・防災の用途多様化で克服
・生産性：食料品製造業の労働生産性6.4百万円/人 vs 製造業11.9百万円（農林水産省 2025/8、原資料 経産省2023）</t>
        </is>
      </c>
      <c r="G16" s="21" t="inlineStr">
        <is>
          <t>行18</t>
        </is>
      </c>
      <c r="H16" s="107" t="inlineStr">
        <is>
          <t xml:space="preserve">要追加確認</t>
        </is>
      </c>
    </row>
    <row r="17" ht="409.5" customHeight="1">
      <c r="A17" s="22" t="n">
        <v>13</v>
      </c>
      <c r="B17" s="17" t="inlineStr">
        <is>
          <t>1-1 現状分析</t>
        </is>
      </c>
      <c r="C17" s="23" t="inlineStr">
        <is>
          <t>外部環境：社会</t>
        </is>
      </c>
      <c r="D17" s="24" t="inlineStr">
        <is>
          <t>人手不足の状況はどうですか？
求人を出しても応募がないなど、具体的に困っていることは？</t>
        </is>
      </c>
      <c r="E17" s="20" t="inlineStr">
        <is>
          <t>□ 有効求人倍率（業界・地域）
□ 採用難の具体エピソード
□ 少子高齢化の影響
□ 社会的な需要の変化</t>
        </is>
      </c>
      <c r="F17" s="105" t="inlineStr">
        <is>
          <t xml:space="preserve">・製造現場、特に夜間帯の人員確保が困難。二直（8:30〜26:00）の生産はフルで入っており、遅番の投入担当は基本派遣人材で賄いたいが、人が辞めるなどして派遣が確保できず、自社の日勤スタッフがカバー出勤する状態が常態化している（直近は派遣がまったく見つからない）
・富山県内でもパート・オペレーターの採用が年々困難。単純反復作業（踏み台に上がって5分おきに袋を詰める）は求職者から敬遠されやすい
・少子高齢化：新卒採用は年3〜4名を継続しているが、製造現場を支える人員の確保が課題
・有効求人倍率（富山県・製造業。出典と年月）：未取得→計画書作成時に調査
【補足調査（2026/9/30 当社調べ、公的資料）】
・需要側：65歳以上3,622万人・高齢化率29.4%、75歳以上2,127万人（令和8年版高齢社会白書 2026/6）。75歳以上は年+47.9万人、15〜64歳は年▲22.2万人（総務省人口推計 2026年4月確定値）／要介護（要支援）認定者736.1万人（厚労省 令和7年11月）／公的保険外ヘルスケア市場 2020年24兆円→2050年77兆円（経産省 2025/5）／家庭で食料品を3日分以上備蓄59.8%、大地震への備え46.1%に上昇（内閣府 防災世論調査 2025/10）
・労働力側：食品製造業の欠員率2.4% vs 全製造業1.8%（厚労省 雇用動向調査、農水省 2025/8）／全国の有効求人倍率1.18倍・新規求人倍率2.10倍（令和8年7月、厚労省）
※富山県の有効求人倍率・人口推移・派遣確保難のデータは労働市場調査の結果を追記
【補足調査：労働市場（2026/9/30 当社調べ、公的資料）】
・富山県の有効求人倍率1.46倍（受理地別・季節調整値、全国4位、全国平均1.18倍）、新規求人倍率2.36倍。年度平均は令和3〜7年度で1.39〜1.57倍と高止まり（富山労働局「富山労働市場ニュース」令和8年7月分 2026/8/28）
・職業別（富山県・令和8年7月）：生産工程従事者2.11倍（求人3,450人／求職1,634人）、製品製造・加工処理従事者2.35倍、生産設備制御・監視従事者2.64倍。全国の生産工程は1.59倍（富山労働局／厚労省）→製造ラインの投入・充填担当は求職者1人に2件超の求人
・県内の食料品製造業の新規求人208人（前年同月比+54.1%）、うちパート106人（+92.7%）＝食品工場のパート採用競争が激化（富山労働局）
・人口：富山県985,675人（令和7年国勢調査速報、5年で△4.7%）。生産年齢人口は2020年581,617人→2040年439,654人（▲24.4%）（社人研 令和5年推計）。県の推計では2040年に労働力10.4万人不足、製造業▲23.1%。県の「人材確保・活躍パッケージ」（2026/2、277事業・約167億円）は「省力化・省人化」が柱（富山県）
・人手不足感：日銀短観2026年6月 雇用人員判断DI 中小製造業▲28（先行き▲33）／中小企業の60.0%が人手不足、製造業58.5%（日本商工会議所 2026/9/15）／正社員不足51.3%、人材派遣・紹介業の非正社員不足56.8%、人手不足倒産2026年上半期227件で過去最多（帝国データバンク 2026/8/17）／製造業は2025年に離職超過（厚労省 雇用動向調査 2026/8/31）
・派遣：派遣料金26,257円/8h（+3.6%）、製造職種の派遣料金+2.6%、派遣賃金の下限（食料品等の製造工）は令和9年度1,192円（+4.1%）（厚労省）。北陸の派遣実稼働者は前年比100.5%と横ばい（日本人材派遣協会 2026/8）。製造請負・派遣業界のスタッフ社員判断DI＋94「深刻な採用難」（日本BPO協会 2026/9）※夜勤に限定した公的統計はなし</t>
        </is>
      </c>
      <c r="G17" s="25" t="inlineStr">
        <is>
          <t>行19</t>
        </is>
      </c>
      <c r="H17" s="106" t="inlineStr">
        <is>
          <t xml:space="preserve">要追加確認</t>
        </is>
      </c>
    </row>
    <row r="18" ht="392.0" customHeight="1">
      <c r="A18" s="16" t="n">
        <v>14</v>
      </c>
      <c r="B18" s="17" t="inlineStr">
        <is>
          <t>1-1 現状分析</t>
        </is>
      </c>
      <c r="C18" s="18" t="inlineStr">
        <is>
          <t>外部環境：技術</t>
        </is>
      </c>
      <c r="D18" s="19" t="inlineStr">
        <is>
          <t>御社の業界で注目されている新しい技術はありますか？
（AI、IoT、自動化、ロボット等）それらを取り入れる余地はありますか？</t>
        </is>
      </c>
      <c r="E18" s="20" t="inlineStr">
        <is>
          <t>□ 業界の技術トレンド
□ AI・IoT・自動化技術の活用可能性
□ 技術変化への対応状況</t>
        </is>
      </c>
      <c r="F18" s="105" t="inlineStr">
        <is>
          <t xml:space="preserve">・パウチ包材メーカー（フジシール）によるロボットアーム式の自動供給装置が実用化されており、当社の既設SPM機（製袋機）に後付けできる（2025/12提案→2026/3改訂提案）
・自社工場でパウチ搬送実績のあるロボットハンドメーカーを選定済み
・当社の取り入れ余地：Gラインで実証後、同型のEライン（設置場所に柱がありレイアウト課題あり）へ横展開できる寸法で設計されている
・AI・IoT等の活用状況：未ヒアリング（本事業はロボット・センサーによる自動化）
【補足調査（2026/9/30 当社調べ、公的資料）】
・食料品・飲料向け産業用ロボットの国内出荷 2025年920台（前年比+8.0%）。国内出荷全体は▲18.3%で主要業種が減る中、食品向けだけ増加（日本ロボット工業会 2026/6）
・農林水産省が食品工場向けにロボット導入・運用の衛生管理ガイドライン（R5年度）、協働ロボットの安全性確保ガイドライン（R4年度）を整備、省力化技術導入支援事業（R7年度補正）
・「食品製造業は労働生産性と労働装備率が低く、生産性向上の余地が大きい」（経産省北海道経済産業局 2025/5）
・当社に適用できる技術：パウチ包材メーカー（フジシール）のロボットアーム式自動供給装置。既設SPM機に後付け、Eライン横展開可能な設計（2025/12→2026/3提案）</t>
        </is>
      </c>
      <c r="G18" s="21" t="inlineStr">
        <is>
          <t>行20</t>
        </is>
      </c>
      <c r="H18" s="107" t="inlineStr">
        <is>
          <t xml:space="preserve">記入済</t>
        </is>
      </c>
    </row>
    <row r="19" ht="173.0" customHeight="1">
      <c r="A19" s="22" t="n">
        <v>15</v>
      </c>
      <c r="B19" s="17" t="inlineStr">
        <is>
          <t>1-1 現状分析</t>
        </is>
      </c>
      <c r="C19" s="23" t="inlineStr">
        <is>
          <t>内部環境：人材・組織</t>
        </is>
      </c>
      <c r="D19" s="24" t="inlineStr">
        <is>
          <t>御社の人材面での強みと弱みは何ですか？
熟練者への依存、属人化している業務、後継者問題などはありますか？</t>
        </is>
      </c>
      <c r="E19" s="20" t="inlineStr">
        <is>
          <t>□ 強み（熟練技術者、チームワーク）
□ 弱み（属人化、後継者不足、教育体制の不備）
□ 弱みは「設備で解決可能」な内容に絞る</t>
        </is>
      </c>
      <c r="F19" s="105" t="inlineStr">
        <is>
          <t xml:space="preserve">・強み：130年の製造ノウハウを持つ熟練者、FSSC22000・ISO9001の品質管理体制、機械オペレーターは社員が担当し安定
・弱み：「社員＝オペレーター、パート＝投入作業」という固定的な役割分担で多能工化が進んでいない。投入作業は1名が付きっきりで属人化・拘束が大きい。夜間の投入担当は派遣依存で確保できない
・熟練者の暗黙知（機械操作・段取り）の言語化・マニュアル化が課題（本事業で創出した時間で取り組む）
・後継者問題：未ヒアリング</t>
        </is>
      </c>
      <c r="G19" s="25" t="inlineStr">
        <is>
          <t>行21</t>
        </is>
      </c>
      <c r="H19" s="107" t="inlineStr">
        <is>
          <t xml:space="preserve">記入済</t>
        </is>
      </c>
    </row>
    <row r="20" ht="218.0" customHeight="1">
      <c r="A20" s="16" t="n">
        <v>16</v>
      </c>
      <c r="B20" s="17" t="inlineStr">
        <is>
          <t>1-1 現状分析</t>
        </is>
      </c>
      <c r="C20" s="18" t="inlineStr">
        <is>
          <t>内部環境：技術・サービス</t>
        </is>
      </c>
      <c r="D20" s="19" t="inlineStr">
        <is>
          <t>御社の技術やサービスの強みは何ですか？
一方で、手作業に頼っている部分、効率が悪い部分はどこですか？</t>
        </is>
      </c>
      <c r="E20" s="20" t="inlineStr">
        <is>
          <t>□ 技術的な強み（品質、独自技術）
□ 弱み（手作業依存、非効率、デジタル化遅れ）
□ 省力化投資で解決できる課題</t>
        </is>
      </c>
      <c r="F20" s="105" t="inlineStr">
        <is>
          <t xml:space="preserve">・技術的強み：酸味・甘味・香り・泡感まで総合設計する「トータルの味づくり」、企画・配合〜充填〜検査の一貫体制、パウチ（スタンディング／サイドガゼット）・ガラス瓶など多様な容器対応、品種切替が速い小ロット多品種対応、品質保証難易度の高いパウチゼリーでの再現性・安全性
・弱み（手作業依存）：Gライン製袋室では、空パウチを製袋機のマガジン（投入口）へ手で詰める作業に1名が常時拘束。マガジンに詰めるのに約3分、約5分で空になるため1日約131回繰り返し、合間も次の束のほぐし（2枚取り防止）・開梱に追われて持ち場を離れられない
・この投入工程が省力化投資で解決できる課題（製袋機より後ろの工程は変更なし）</t>
        </is>
      </c>
      <c r="G20" s="21" t="inlineStr">
        <is>
          <t>行22</t>
        </is>
      </c>
      <c r="H20" s="107" t="inlineStr">
        <is>
          <t xml:space="preserve">記入済</t>
        </is>
      </c>
    </row>
    <row r="21" ht="188.0" customHeight="1">
      <c r="A21" s="22" t="n">
        <v>17</v>
      </c>
      <c r="B21" s="17" t="inlineStr">
        <is>
          <t>1-1 現状分析</t>
        </is>
      </c>
      <c r="C21" s="23" t="inlineStr">
        <is>
          <t>内部環境：財務・営業</t>
        </is>
      </c>
      <c r="D21" s="24" t="inlineStr">
        <is>
          <t>財務面・営業面での強みと課題は何ですか？
安定した取引先はありますか？逆に、受注したいのにできない状況はありますか？</t>
        </is>
      </c>
      <c r="E21" s="20" t="inlineStr">
        <is>
          <t>□ 強み（安定取引先、収益性）
□ 弱み（原価率高、利益率低下）
□ 受注機会の逸失（金額換算できると◎）</t>
        </is>
      </c>
      <c r="F21" s="105" t="inlineStr">
        <is>
          <t xml:space="preserve">・強み：大手との長期安定取引（イオン25〜30年、森永15〜20年、明治10年）、ODM案件（イオンPB等）は相対的に利益率が高い
・弱み：レシピ指定のOEMは加工賃程度で薄利（工場経費込みで赤字スレスレの案件あり）。2026/3期は原価・人件費上昇の転嫁遅れで営業利益が2.05億円に減少（前期3.85億円）
・受注機会の逸失：パウチラインのキャパ不足で受託を断った案件があり、直近で最大 年間800万袋×50円＝約4億円規模の機会損失
・夜勤人員が確保できないと17.5時間稼働の維持自体が危うく、安定供給という強みが揺らぐ</t>
        </is>
      </c>
      <c r="G21" s="25" t="inlineStr">
        <is>
          <t>行23</t>
        </is>
      </c>
      <c r="H21" s="106" t="inlineStr">
        <is>
          <t xml:space="preserve">記入済</t>
        </is>
      </c>
    </row>
    <row r="22" ht="16.5" customHeight="1">
      <c r="A22" s="117" t="n"/>
      <c r="B22" s="117" t="inlineStr">
        <is>
          <t>1-2. 経営課題</t>
        </is>
      </c>
      <c r="C22" s="118" t="n"/>
      <c r="D22" s="118" t="n"/>
      <c r="E22" s="118" t="n"/>
      <c r="F22" s="119" t="n"/>
      <c r="G22" s="117" t="n"/>
      <c r="H22" s="117" t="n"/>
    </row>
    <row r="23" ht="278.0" customHeight="1">
      <c r="A23" s="16" t="n">
        <v>18</v>
      </c>
      <c r="B23" s="17" t="inlineStr">
        <is>
          <t>1-2 経営課題</t>
        </is>
      </c>
      <c r="C23" s="18" t="inlineStr">
        <is>
          <t>課題の全体像</t>
        </is>
      </c>
      <c r="D23" s="19" t="inlineStr">
        <is>
          <t>現在の経営課題を3～4つ挙げるとしたら、何ですか？
それらの課題はお互いにどう影響し合っていますか？</t>
        </is>
      </c>
      <c r="E23" s="20" t="inlineStr">
        <is>
          <t>□ 課題を3～4つ列挙
□ 課題間の因果関係
□ 「収益性悪化」「成長機会喪失」の2軸で整理
□ 省力化投資で一括解決できるストーリー</t>
        </is>
      </c>
      <c r="F23" s="105" t="inlineStr">
        <is>
          <t xml:space="preserve">①手作業依存による生産能力の限界と機会損失：Gラインの資材（パウチ）供給が人海戦術で、投入担当がいなければラインが動かない。キャパ不足で約4億円規模の案件を断った
②夜勤人員の確保難による稼働時間の制約：遅番の投入担当は派遣で賄えず、日勤社員のカバー出勤が常態化。17.5時間稼働の維持が困難
③属人的作業によるリソースの固定化：投入に拘束されるため、品質管理（工程内検査・トレーサビリティ）や段取り改善、提案型ODM対応へ人を回せない
④脱・労働集約型への転換：作業量に比例して人が要る構造では賃上げ原資を確保しにくい
・因果関係：②が①を悪化させ（人がいないと稼働できない）、①〜③が収益性悪化（薄利OEMからの脱却が進まない）と成長機会喪失の両方を招く。投入工程の自動化で②→①→③を一括で解消するストーリー</t>
        </is>
      </c>
      <c r="G23" s="21" t="inlineStr">
        <is>
          <t>行24</t>
        </is>
      </c>
      <c r="H23" s="107" t="inlineStr">
        <is>
          <t xml:space="preserve">記入済</t>
        </is>
      </c>
    </row>
    <row r="24" ht="608.0" customHeight="1">
      <c r="A24" s="22" t="n">
        <v>19</v>
      </c>
      <c r="B24" s="17" t="inlineStr">
        <is>
          <t>1-2 経営課題</t>
        </is>
      </c>
      <c r="C24" s="23" t="inlineStr">
        <is>
          <t>課題の数値化
【最重要】</t>
        </is>
      </c>
      <c r="D24" s="24" t="inlineStr">
        <is>
          <t>各課題について、具体的な数値を教えてください。
・その作業に何人で何分かかっていますか？
・不良率は何%ですか？
・残業は月何時間ですか？
・受注を断った件数や金額は？</t>
        </is>
      </c>
      <c r="E24" s="20" t="inlineStr">
        <is>
          <t>【最重要項目】必ず数値で把握する：
□ 工程数と各工程の所要時間（分単位）
□ 各工程の配置人数
□ 不良率（%）
□ 作業コスト（円/個、円/件）
□ 欠員数・残業時間
□ 受注辞退件数・金額
□ 有効求人倍率（地域・業種別。出典と年月もセットで）
□ ボトルネックの物理的根拠（例：1袋50kg超を半分に割る、機械の容量上限、1本ずつ目視）
□ 前後工程との能力差（例：前工程2,000パック/時に対し当該工程600パック/時が上限）</t>
        </is>
      </c>
      <c r="F24" s="105" t="inlineStr">
        <is>
          <t xml:space="preserve">■投入作業（Gライン製袋室、投入担当パート1名×3シフト）
・稼働8:30〜26:00（17.5時間）＝1,050分／日。早番150分・中番480分・遅番420分
・「マガジンに詰めるのに約3分→約5分で空」の8分サイクルを1日約131回。内訳：手投入315分（2.4分×131回）、踏み台昇降・残量確認79分（0.6分×131回）、ほぐし563分、開梱・束出し43分（43箱×1分）、空箱片付け22分、搬入20分、品種切替時のパウチ切替8分（月平均）
■生産量：1品種の日15万袋、2品種の日10万袋。年間稼働日数245日で、1品種の日と2品種の日はほぼ半々（約122〜123日ずつ、月平均約10日ずつ）。製袋機能力150袋／分。パウチは1束50袋、1箱3,000〜4,000袋
■配置人数（各シフト同じ）：製袋室2名（オペレーター＋投入パート）、充填室1名、包装室2〜3名
■受注辞退：年間800万袋×50円＝約4億円規模（直近最大）
■派遣確保難：常態化（月何回のカバー出勤かは未回答）
■不良率・残業時間・派遣費：把握できないため使わない。課題の数値化は「投入担当の拘束時間（1,050分／日）」「派遣が確保できない状態の常態化」「約4億円の機会損失」を中心に構成する
■有効求人倍率：富山県1.46倍（全国4位）、生産工程従事者2.11倍（令和8年7月、富山労働局）※詳細は【補足調査】
■ボトルネックの物理的根拠：マガジンの容量が約5分（約750〜1,400袋）分しかなく、150袋／分で消費されるため人が離れられない
【補足調査（2026/9/30）】課題を裏付ける公的データ：富山県の有効求人倍率1.46倍（全国4位）、生産工程従事者2.11倍（令和8年7月、富山労働局）／製造派遣業界のスタッフ社員判断DI＋94（日本BPO協会 2026/9）、派遣・紹介業の非正社員不足56.8%（帝国データバンク 2026/8）／食品製造業の欠員率2.4%（全製造業1.8%）（農林水産省 2025/8）→夜勤の投入担当を派遣で確保できない状況は構造的</t>
        </is>
      </c>
      <c r="G24" s="25" t="inlineStr">
        <is>
          <t>行25</t>
        </is>
      </c>
      <c r="H24" s="106" t="inlineStr">
        <is>
          <t xml:space="preserve">記入済</t>
        </is>
      </c>
    </row>
    <row r="25" ht="16.5" customHeight="1">
      <c r="A25" s="117" t="n"/>
      <c r="B25" s="117" t="inlineStr">
        <is>
          <t>1-3. 省力化補助金活用の動機・目的</t>
        </is>
      </c>
      <c r="C25" s="118" t="n"/>
      <c r="D25" s="118" t="n"/>
      <c r="E25" s="118" t="n"/>
      <c r="F25" s="119" t="n"/>
      <c r="G25" s="117" t="n"/>
      <c r="H25" s="117" t="n"/>
    </row>
    <row r="26" ht="203.0" customHeight="1">
      <c r="A26" s="16" t="n">
        <v>20</v>
      </c>
      <c r="B26" s="17" t="inlineStr">
        <is>
          <t>1-3 動機・目的</t>
        </is>
      </c>
      <c r="C26" s="18" t="inlineStr">
        <is>
          <t>ボトルネック工程</t>
        </is>
      </c>
      <c r="D26" s="19" t="inlineStr">
        <is>
          <t>一番のボトルネック（障害）になっている工程はどこですか？
そこが解消されれば、全体がどう良くなりますか？</t>
        </is>
      </c>
      <c r="E26" s="20" t="inlineStr">
        <is>
          <t>□ ボトルネック工程の特定
□ そこが解消された場合の全体への波及効果
□ 省力化投資が経営課題の解決につながる論理</t>
        </is>
      </c>
      <c r="F26" s="105" t="inlineStr">
        <is>
          <t xml:space="preserve">・ボトルネック：Gライン製袋室の「空パウチをマガジンへ手投入する工程」。供給専任1名が付きっきりで、その人がいなければ製袋機（スパウト圧着）以降の全工程が止まる
・解消後：投入担当の確保に左右されず17.5時間稼働を安定維持。遅番は製袋室オペレーター1名だけで回る（パレット入替を兼務）
・波及：中番の投入パートの時間（1日380〜462分）と遅番の投入担当（420分）が浮き、多能工化→パートが遅番オペレーター→社員を日勤の品質管理・ODM提案・技術継承へ、という再配置につながる
・論理：課題②（夜勤確保難）→①（稼働・受注）→③（リソース固定化）を一つの設備で解決</t>
        </is>
      </c>
      <c r="G26" s="21" t="inlineStr">
        <is>
          <t>行26</t>
        </is>
      </c>
      <c r="H26" s="107" t="inlineStr">
        <is>
          <t xml:space="preserve">記入済</t>
        </is>
      </c>
    </row>
    <row r="27" ht="293.0" customHeight="1">
      <c r="A27" s="22" t="n">
        <v>21</v>
      </c>
      <c r="B27" s="17" t="inlineStr">
        <is>
          <t>1-3 動機・目的</t>
        </is>
      </c>
      <c r="C27" s="23" t="inlineStr">
        <is>
          <t>省力化投資の必然性</t>
        </is>
      </c>
      <c r="D27" s="24" t="inlineStr">
        <is>
          <t>人を雇う、外注する、ではなく、設備を入れることが最善な理由は何ですか？
採用の難しさ、外注の問題点など教えてください。</t>
        </is>
      </c>
      <c r="E27" s="20" t="inlineStr">
        <is>
          <t>□ 「採用では解決できない」理由（有効求人倍率・応募ゼロの実績等）
□ 「外注では解決できない」理由（品質管理・規制/認証・ノウハウ流出等）
□ 「汎用品・中古設備では解決できない」理由
□ 設備投資でなければならない必然性（消去法で「唯一の解決策」と言えるか）</t>
        </is>
      </c>
      <c r="F27" s="105" t="inlineStr">
        <is>
          <t xml:space="preserve">・採用では解決できない：夜間帯の投入担当は派遣会社に依頼しても確保できない状態が常態化。単純反復作業は求職者に敬遠され、採用できても定着しにくい
・外注では解決できない：パウチへのスパウト圧着〜充填〜殺菌はFSSC22000のもとで自社工場内の一貫工程。投入作業だけを切り出して外注することは物理的に不可能。取引先のレシピ・仕様の機密保持もある
・汎用品・中古では解決できない：既設SPM機（製袋機）のマガジン形状、当社のパウチ2種（サイドガゼット／スタンディング、幅80〜96mm・高さ115〜150mm）、製袋室の限られたスペース（CH-6000製袋室、Eラインへの展開寸法）に合わせた専用設計が必要。フジシールが当社向けにレイアウト案・専用パレット・ロボットハンドを設計し、既設機の改造部品・設計変更まで含む
・消去法で「設備投資（オーダーメイド）が唯一の解決策」</t>
        </is>
      </c>
      <c r="G27" s="25" t="inlineStr">
        <is>
          <t>行27</t>
        </is>
      </c>
      <c r="H27" s="107" t="inlineStr">
        <is>
          <t xml:space="preserve">記入済</t>
        </is>
      </c>
    </row>
    <row r="28" ht="188.0" customHeight="1">
      <c r="A28" s="16" t="n">
        <v>22</v>
      </c>
      <c r="B28" s="17" t="inlineStr">
        <is>
          <t>1-3 動機・目的</t>
        </is>
      </c>
      <c r="C28" s="18" t="inlineStr">
        <is>
          <t>理念との関連</t>
        </is>
      </c>
      <c r="D28" s="19" t="inlineStr">
        <is>
          <t>今回の省力化投資は、御社の経営理念とどうつながりますか？
「人減らし」ではなく「人の価値を高める投資」という点で、どうお考えですか？</t>
        </is>
      </c>
      <c r="E28" s="20" t="inlineStr">
        <is>
          <t>□ 経営理念との一貫性
□ 省力化＝人の価値向上という位置づけ
□ 投資の社会的意義</t>
        </is>
      </c>
      <c r="F28" s="105" t="inlineStr">
        <is>
          <t xml:space="preserve">・理念「難度の高い仕事に取り組むことにより、人間として成長する」：5分おきの反復投入という単純作業を機械に任せ、人はオペレーション・品質管理・提案型ODMなど難度の高い仕事へ
・「人減らし」ではなく再配置：パートを多能工化してオペレーター業務を任せ、社員を高付加価値業務へ。踏み台昇降や夜勤カバー出勤の負担を減らし働きやすい職場に
・社会的意義：大手食品・医薬品メーカーの製品や防災備蓄向けゼリー飲料を、人手不足下でも安定供給できる「人に依存しない次世代型製造拠点」のモデル。富山の雇用維持と新卒採用の継続</t>
        </is>
      </c>
      <c r="G28" s="21" t="inlineStr">
        <is>
          <t>行28</t>
        </is>
      </c>
      <c r="H28" s="107" t="inlineStr">
        <is>
          <t xml:space="preserve">記入済</t>
        </is>
      </c>
    </row>
    <row r="29" ht="16.5" customHeight="1">
      <c r="A29" s="117" t="n"/>
      <c r="B29" s="117" t="inlineStr">
        <is>
          <t>2. 省力化投資の具体的内容</t>
        </is>
      </c>
      <c r="C29" s="118" t="n"/>
      <c r="D29" s="118" t="n"/>
      <c r="E29" s="118" t="n"/>
      <c r="F29" s="119" t="n"/>
      <c r="G29" s="117" t="n"/>
      <c r="H29" s="117" t="n"/>
    </row>
    <row r="30" ht="353.0" customHeight="1">
      <c r="A30" s="22" t="n">
        <v>23</v>
      </c>
      <c r="B30" s="17" t="inlineStr">
        <is>
          <t>2. 投資内容</t>
        </is>
      </c>
      <c r="C30" s="23" t="inlineStr">
        <is>
          <t>設備の全体像</t>
        </is>
      </c>
      <c r="D30" s="24" t="inlineStr">
        <is>
          <t>導入する設備の全体像を教えてください。
どんな設備を、どこに、どう配置しますか？
システム全体の構成図はありますか？</t>
        </is>
      </c>
      <c r="E30" s="20" t="inlineStr">
        <is>
          <t>□ 設備構成の全体像
□ 各設備の役割と連携（どのボトルネックをどの設備が解決するか1対1で）
□ デジタル技術（AI・IoT等）の活用有無（必須ではないが政策面で有利）
□ オーダーメイド（専用設備）であること
□ 発注予定先（メーカー名）
□ カタログ注文型の製品カタログ登録カテゴリに該当する製品か（該当なら審査で一部考慮。単体導入はカタログ型へ）
□ 導入設備の製造元が中小企業か（イノベーション製品応援プログラムの追加資料で審査考慮）</t>
        </is>
      </c>
      <c r="F30" s="105" t="inlineStr">
        <is>
          <t xml:space="preserve">・設置場所：4号棟1階 製袋室、既設SPM機（製袋機）のマガジン脇。踏み台を撤去し、その位置に自動供給装置を置く
・構成：①パウチ自動供給装置本体（U字型コンベアで専用パレットを搬送、ロボットアームがパウチ束（100袋）を取り出しマガジンへ投入）②専用パレット90枚（1枚1,200袋。機内25枚＝5段×4列＋予備1列、予備65枚）③仮置き台車17台（詰めたパレットの一時保管・運搬）④既設SPM機の改造部品・設計変更 ⑤現地改造工事（約11日）
・解決するボトルネックとの対応：手投入→ロボット供給（1対1）。装置内に約2時間分（24,000袋）を装填でき、供給待ちが無くなる
・オーダーメイド：当社の製袋機・パウチ・レイアウト専用に設計。カタログ注文型の登録カテゴリには該当しない
・発注予定先：株式会社フジシール
・デジタル技術：ロボットアーム＋センサー制御（制御系の詳細は未ヒアリング。IoT・AIの要素があれば追記）
・全体構成図：フジシール提案資料のレイアウト案・装置単体図あり。v3パワポのスライド3（デフォルメ図）で整理済み</t>
        </is>
      </c>
      <c r="G30" s="25" t="inlineStr">
        <is>
          <t>行29</t>
        </is>
      </c>
      <c r="H30" s="107" t="inlineStr">
        <is>
          <t xml:space="preserve">記入済</t>
        </is>
      </c>
    </row>
    <row r="31" ht="323.0" customHeight="1">
      <c r="A31" s="16" t="n">
        <v>24</v>
      </c>
      <c r="B31" s="17" t="inlineStr">
        <is>
          <t>2. 投資内容</t>
        </is>
      </c>
      <c r="C31" s="18" t="inlineStr">
        <is>
          <t>設備の詳細スペック</t>
        </is>
      </c>
      <c r="D31" s="19" t="inlineStr">
        <is>
          <t>各設備のメーカー名・型番・性能（スペック）を教えてください。
例えば処理速度、精度、サイズなどの数値がわかりますか？</t>
        </is>
      </c>
      <c r="E31" s="20" t="inlineStr">
        <is>
          <t>□ 設備名・型番・メーカー名
□ 税抜価格（設備ごと）
□ 定量的なスペック（処理速度、精度、サイズ等）
□ カタログや見積書があるか（第7回から応募時提出が必須）</t>
        </is>
      </c>
      <c r="F31" s="105" t="inlineStr">
        <is>
          <t xml:space="preserve">・名称：パウチ自動供給装置（ロボットアーム式供給）／メーカー：株式会社フジシール／型番：なし（専用設計）
・供給能力：100袋（1束）あたり15秒。製袋機の能力150袋／分に追従
・ストック量：5段×4列＝20パレット＝24,000袋（約2時間分。フジシール資料）
・専用パレット：1枚1,200袋、詰め時間 約1.5〜2分／枚（計画では2分）、型替え 約1〜1.5分／枚（治具でガイド幅を変更、M4ボルト6か所）、ABS樹脂・SUSガイド、パレット単体6.8kg／パウチ込み12.8kg
・対象パウチ：幅80〜96mm、高さ115〜150mm（サイドガゼット・スタンディング兼用）
・設備重量：約2t
・税抜価格：装置55,250,000円、パレット90枚31,500,000円、台車17台2,040,000円、改造部品3,600,000円、現地工事4,100,000円、輸送300,000円
・資料：提案資料（2025/12/22、2026/3/25）、御見積書（2026/9/24）取得済み。カタログはなし（オーダーメイド）</t>
        </is>
      </c>
      <c r="G31" s="21" t="inlineStr">
        <is>
          <t>行30</t>
        </is>
      </c>
      <c r="H31" s="106" t="inlineStr">
        <is>
          <t xml:space="preserve">記入済</t>
        </is>
      </c>
    </row>
    <row r="32" ht="338.0" customHeight="1">
      <c r="A32" s="22" t="n">
        <v>25</v>
      </c>
      <c r="B32" s="17" t="inlineStr">
        <is>
          <t>2. 投資内容</t>
        </is>
      </c>
      <c r="C32" s="23" t="inlineStr">
        <is>
          <t>カスタマイズ内容</t>
        </is>
      </c>
      <c r="D32" s="24" t="inlineStr">
        <is>
          <t>オーダーメイドである必要性は何ですか？
この設備は御社専用に作られる部分がありますか？
市販品とどこが違いますか？メーカーとの打合せはどの程度進んでいますか？</t>
        </is>
      </c>
      <c r="E32" s="20" t="inlineStr">
        <is>
          <t>□ 物理的カスタマイズの内容
□ ソフトウェア的カスタマイズの内容
□ 御社の現場レイアウトへの適合
□ メーカーとの打合せ回数・内容
□ 見積取得済みか</t>
        </is>
      </c>
      <c r="F32" s="105" t="inlineStr">
        <is>
          <t xml:space="preserve">・物理的カスタマイズ：既設SPM機（製袋機）の投入部（マガジン14ポケット）に合わせた寸法・供給位置。既設機側の部品改造・設計変更（見積3,600,000円）。製袋室のレイアウト（資材保管室側からの搬入動線、コンベア・リークチェッカとの干渉）に合わせたU字型コンベア配置
・パレットのカスタマイズ：サイドガゼットとスタンディングの2種のパウチを1種類のパレットで兼用できる型替えガイド（試作済み）。5段積み・予備1列のローテーション設計
・ソフト的：供給タイミングを製袋機の稼働に合わせる制御（詳細は未ヒアリング）
・Eラインにも設置可能な寸法で設計（横展開前提）
・メーカーとの打合せ：2025/12/22 初回提案（4列×4段16パレット、128分分）→2026/3/25 改訂提案（5段×4列＋予備、約2時間分、装填・型替え時間の改善、レイアウト案）→2026/9/24 見積取得。現在、見積の名称・内訳を修正中
・市販品との違い：カタログ製品ではなく、パウチ包材メーカーが当社の製袋機・製品仕様に合わせて一品一様で設計</t>
        </is>
      </c>
      <c r="G32" s="25" t="inlineStr">
        <is>
          <t>行31</t>
        </is>
      </c>
      <c r="H32" s="107" t="inlineStr">
        <is>
          <t xml:space="preserve">記入済</t>
        </is>
      </c>
    </row>
    <row r="33" ht="218.0" customHeight="1">
      <c r="A33" s="16" t="n">
        <v>26</v>
      </c>
      <c r="B33" s="17" t="inlineStr">
        <is>
          <t>2. 投資内容</t>
        </is>
      </c>
      <c r="C33" s="18" t="inlineStr">
        <is>
          <t>設備選定理由</t>
        </is>
      </c>
      <c r="D33" s="19" t="inlineStr">
        <is>
          <t>他の設備（代替案）と比較しましたか？なぜこの設備を選んだのですか？
すでに使った実績があれば教えてください。</t>
        </is>
      </c>
      <c r="E33" s="20" t="inlineStr">
        <is>
          <t>□ 代替案との比較検討
□ この設備・組み合わせを選んだ理由
□ 実証実績（PoC、試用）の有無
□ コスト・レイアウト・将来性の観点</t>
        </is>
      </c>
      <c r="F33" s="105" t="inlineStr">
        <is>
          <t xml:space="preserve">・代替案の比較：未ヒアリング（他メーカー比較、汎用パウチフィーダーの検討有無を確認）
・フジシールを選んだ理由（資料から）：当社のパウチ包材の供給元で製品仕様を熟知。ロボットハンドは複数メーカーとすり合わせ、フジシール自社のパウチ工場で搬送実績のあるハンドメーカーを選定。12月案から3月案へ、ストック量（16→20パレット）・型替え方式（5分／枚→1〜1.5分／枚）を改善して提案
・コスト・レイアウト・将来性：型替え兼用パレットで保有枚数を抑制、既設機を活かす改造で投資を抑制、Eラインへ横展開できる設計
・実証実績（PoC・試用）：未ヒアリング（フジシール側の導入実績があれば記載）</t>
        </is>
      </c>
      <c r="G33" s="21" t="inlineStr">
        <is>
          <t>行32</t>
        </is>
      </c>
      <c r="H33" s="107" t="inlineStr">
        <is>
          <t xml:space="preserve">要追加確認</t>
        </is>
      </c>
    </row>
    <row r="34" ht="16.5" customHeight="1">
      <c r="A34" s="117" t="n"/>
      <c r="B34" s="117" t="inlineStr">
        <is>
          <t>2-1. 省力化のビフォーアフター</t>
        </is>
      </c>
      <c r="C34" s="118" t="n"/>
      <c r="D34" s="118" t="n"/>
      <c r="E34" s="118" t="n"/>
      <c r="F34" s="119" t="n"/>
      <c r="G34" s="117" t="n"/>
      <c r="H34" s="117" t="n"/>
    </row>
    <row r="35" ht="458.0" customHeight="1">
      <c r="A35" s="22" t="n">
        <v>27</v>
      </c>
      <c r="B35" s="17" t="inlineStr">
        <is>
          <t>2-1 ビフォーアフター</t>
        </is>
      </c>
      <c r="C35" s="23" t="inlineStr">
        <is>
          <t>業務プロセスの
ビフォーアフター
【最重要】</t>
        </is>
      </c>
      <c r="D35" s="24" t="inlineStr">
        <is>
          <t>設備導入の前と後で、業務の流れがどう変わりますか？
各工程について、所要時間（分単位）を教えてください。
例：「今は○○工程に△△分→導入後は□□分になる」</t>
        </is>
      </c>
      <c r="E35" s="20" t="inlineStr">
        <is>
          <t>【最重要項目】工程ごとの時間を必ず取得：
□ 現状の業務フロー（工程の順番）
□ 各工程の所要時間（分単位）
□ 導入後の業務フロー
□ 導入後の各工程の所要時間
□ 削減される工程、変化しない工程、追加される工程</t>
        </is>
      </c>
      <c r="F35" s="105" t="inlineStr">
        <is>
          <t xml:space="preserve">■現状（投入担当パート1名×3シフト。1日1,050分＝17.5時間）
①空パウチの搬入 20分 ②段ボールの開梱・束の取り出し 43分 ③空段ボールの片付け 22分 ④パウチのほぐし 563分 ⑤踏み台の昇降・マガジン残量確認 79分 ⑥マガジンへの束の手投入 315分 ⑦品種切替時のパウチ切替 8分（月平均）
（変わらない工程）⑧製袋機の運転・監視1,050分（オペレーター1名）⑨充填1,050分（1名）⑩包装・箱詰め2,625分（2〜3名）
■導入後
①空パウチの搬入 20分（変わらない）②専用パレットへの詰め 209分（新規。約2分／枚×1品種の日125枚＝250分、2品種の日84枚＝168分の月平均。開梱・ほぐし・片付け込み）③パレットの装填・入替 15分（新規。約2時間に1回×約3分。遅番は製袋室オペレーターが兼務）④専用パレットの型替え 7分（新規。形状が変わる日に機内25枚×約1.1分≒28分、月平均）
（変わらない工程）⑤製袋機の運転・監視1,050分 ⑥充填1,050分 ⑦包装2,625分
■削減される作業：②〜⑦（1,030分）／変化しない：搬入・製袋機・充填・包装／追加：詰め・入替・型替え（231分）
■流れ：資材保管室→製袋室（G仕込室から調合液）→充填室→殺菌室（リフトスチーマー）→2階包装室→1階製品倉庫。製袋機より後ろの工程は変更なし
※詳細は「工数ヒアリング用 省力化計算シート」およびv3パワポ スライド6・7</t>
        </is>
      </c>
      <c r="G35" s="25" t="inlineStr">
        <is>
          <t>行33</t>
        </is>
      </c>
      <c r="H35" s="107" t="inlineStr">
        <is>
          <t xml:space="preserve">記入済</t>
        </is>
      </c>
    </row>
    <row r="36" ht="263.0" customHeight="1">
      <c r="A36" s="16" t="n">
        <v>28</v>
      </c>
      <c r="B36" s="17" t="inlineStr">
        <is>
          <t>2-1 ビフォーアフター</t>
        </is>
      </c>
      <c r="C36" s="18" t="inlineStr">
        <is>
          <t>レイアウト変更</t>
        </is>
      </c>
      <c r="D36" s="19" t="inlineStr">
        <is>
          <t>設備を入れることで、工場や事務所のレイアウト（配置）は変わりますか？
動線（人の動き）はどう変わりますか？</t>
        </is>
      </c>
      <c r="E36" s="20" t="inlineStr">
        <is>
          <t>□ Before/Afterのレイアウト変更有無
□ 動線の改善ポイント
□ 平面図の用意</t>
        </is>
      </c>
      <c r="F36" s="105" t="inlineStr">
        <is>
          <t xml:space="preserve">・製袋室内のみ変更：踏み台（現状の投入位置）を撤去し、マガジン脇に自動供給装置（約2t）を設置。装置の手前に仮置き台車（17台）と詰め作業スペース
・動線：資材保管室から運んだ段ボールを詰め作業の場所で開梱し、専用パレットに詰めて台車で装置へ。投入担当が踏み台を昇り降りする動線がなくなる
・製袋機より後ろ（コンベア→リークチェッカ→充填室→殺菌室→2階包装室）は変更なし
・平面図：4号棟1階・2階設備配置図面（180813-01）、フジシール「レイアウト案 トンボ飲料Gライン」、v3パワポ スライド3（現状／導入後のデフォルメ図）あり
・注意：ユーティリティ工事は見積対象外。荷降ろし・設置（アンカー固定）・搬入経路上の機器の一時解体は当社手配</t>
        </is>
      </c>
      <c r="G36" s="21" t="inlineStr">
        <is>
          <t>行34</t>
        </is>
      </c>
      <c r="H36" s="107" t="inlineStr">
        <is>
          <t xml:space="preserve">記入済</t>
        </is>
      </c>
    </row>
    <row r="37" ht="353.0" customHeight="1">
      <c r="A37" s="22" t="n">
        <v>29</v>
      </c>
      <c r="B37" s="17" t="inlineStr">
        <is>
          <t>2-1 ビフォーアフター</t>
        </is>
      </c>
      <c r="C37" s="23" t="inlineStr">
        <is>
          <t>人員配置の変化</t>
        </is>
      </c>
      <c r="D37" s="24" t="inlineStr">
        <is>
          <t>設備導入で人員配置はどう変わりますか？
減った分の人はどこに回しますか？</t>
        </is>
      </c>
      <c r="E37" s="20" t="inlineStr">
        <is>
          <t>□ 現状の工程別配置人数
□ 導入後の工程別配置人数
□ 削減された人員の再配置先
□ 「人減らし」ではなく「人の再配置」であること</t>
        </is>
      </c>
      <c r="F37" s="105" t="inlineStr">
        <is>
          <t xml:space="preserve">■現状（各シフト共通）：製袋室2名（オペレーター社員1＋投入パート1）、充填室1名、包装室2〜3名。投入パートは早番150分・中番480分・遅番420分を投入に拘束。遅番の投入担当は派遣（確保できず社員がカバー）
■導入後：製袋室は早番2名・中番2名・遅番1名（オペレーターのみ。パレット入替約3分×約2時間に1回を兼務）。充填室1名・包装室2〜3名は変わらず
・早番の投入パート→同じ人が詰め作業（150分）へ業務転換
・中番の投入パート→早番の残りの詰め（100分／18分）を行い、残り380〜462分を多能工化（オペレーター業務の習得）へ
・遅番の投入担当（派遣・カバー出勤）→不要に（420分創出）
■再配置先：①パートの多能工化→段階的に遅番オペレーター業務を担当 ②遅番から日勤に移った社員オペレーター→品質管理（工程内検査・トレーサビリティ）、提案型ODM・多品種小ロット立上げ、技術継承（マニュアル化） ③Eラインへの横展開の準備
※「人減らし」ではなく、派遣依存の解消と人の再配置</t>
        </is>
      </c>
      <c r="G37" s="25" t="inlineStr">
        <is>
          <t>行35</t>
        </is>
      </c>
      <c r="H37" s="107" t="inlineStr">
        <is>
          <t xml:space="preserve">記入済</t>
        </is>
      </c>
    </row>
    <row r="38" ht="368.0" customHeight="1">
      <c r="A38" s="16" t="n">
        <v>30</v>
      </c>
      <c r="B38" s="17" t="inlineStr">
        <is>
          <t>2-1 ビフォーアフター</t>
        </is>
      </c>
      <c r="C38" s="18" t="inlineStr">
        <is>
          <t>省力化指数の
算出根拠</t>
        </is>
      </c>
      <c r="D38" s="19" t="inlineStr">
        <is>
          <t>削減される作業時間と、新たに追加される作業時間を教えてください。
（省力化指数＝（削減される時間－導入後に発生する時間）÷削減される時間 で計算します）</t>
        </is>
      </c>
      <c r="E38" s="20" t="inlineStr">
        <is>
          <t>□ 削減される作業の一覧と時間
□ 変化しない作業の一覧
□ 新たに追加される作業の一覧と時間
□ 省力化指数の計算（目安：20%以上、採択8社は63.6%～100%）
□ 設備が自動で行う工程は別紙1に記載しないことの確認
□ 不定期な作業は稼働日ベースの日割りで換算（FAQ）
□ 新規事業の場合は「設備なしで行う場合の見込み値」を導入前とできる（FAQ）</t>
        </is>
      </c>
      <c r="F38" s="105" t="inlineStr">
        <is>
          <t xml:space="preserve">■削減される作業（現状の投入担当の作業のうち無くなるもの）＝1,030分／日：開梱43＋片付け22＋ほぐし563＋踏み台昇降79＋手投入315＋品種切替8
■変化しない作業：空パウチの搬入20分、製袋機の運転・監視1,050分、充填1,050分、包装・箱詰め2,625分
■新たに追加される作業＝231分／日：専用パレットへの詰め209分（1品種の日250分／2品種の日168分の平均）、パレットの装填・入替15分（6回／4回×約3分の平均）、専用パレットの型替え7分（形状が変わる日に約28分、2品種の日の半数で発生として平均）
■省力化指数＝（1,030−231）÷1,030＝0.78（別紙1の自動計算：削減17.2時間・発生3.9時間）
・平均の取り方：1品種の日と2品種の日は年245稼働日のほぼ半々（約122〜123日ずつ）として単純平均（月平均約10日ずつ）
・装置が自動で行う供給（ロボット）は別紙1に記載しない
・当初のヒアリング後試算（1,050→209分、指数0.80）に入替・型替えを加えたもので「0.8弱」の方針どおり
・年間換算：799分／日×245日＝約3,262時間／年（別紙3の削減工数13.32時間／日×245日）</t>
        </is>
      </c>
      <c r="G38" s="21" t="inlineStr">
        <is>
          <t>行36</t>
        </is>
      </c>
      <c r="H38" s="106" t="inlineStr">
        <is>
          <t xml:space="preserve">記入済</t>
        </is>
      </c>
    </row>
    <row r="39" ht="16.5" customHeight="1">
      <c r="A39" s="117" t="n"/>
      <c r="B39" s="117" t="inlineStr">
        <is>
          <t>2-2. 期待される効果と波及効果</t>
        </is>
      </c>
      <c r="C39" s="118" t="n"/>
      <c r="D39" s="118" t="n"/>
      <c r="E39" s="118" t="n"/>
      <c r="F39" s="119" t="n"/>
      <c r="G39" s="117" t="n"/>
      <c r="H39" s="117" t="n"/>
    </row>
    <row r="40" ht="353.0" customHeight="1">
      <c r="A40" s="22" t="n">
        <v>31</v>
      </c>
      <c r="B40" s="17" t="inlineStr">
        <is>
          <t>2-2 効果</t>
        </is>
      </c>
      <c r="C40" s="23" t="inlineStr">
        <is>
          <t>期待効果
（定量的に）</t>
        </is>
      </c>
      <c r="D40" s="24" t="inlineStr">
        <is>
          <t>設備導入で具体的にどんな効果がありますか？
・作業時間がどれだけ減る？
・コストがどれだけ下がる？
・品質がどう良くなる？
・受注がどれだけ増える？</t>
        </is>
      </c>
      <c r="E40" s="20" t="inlineStr">
        <is>
          <t>□ 工数削減（○分→△分、○%削減）
□ コスト削減（年間○○万円）
□ 品質向上（不良率○%→△%）
□ 受注増（年間○○件/○○万円増）
□ 副次効果も確認：身体的負担の軽減・労働環境改善（→定着率）、品質の均一化、属人化の解消（新人でも作業可能）</t>
        </is>
      </c>
      <c r="F40" s="105" t="inlineStr">
        <is>
          <t xml:space="preserve">・工数削減：投入担当の拘束1,050分／日→導入後の関連作業251分／日（新規231分）。創出799分／日（約13.3時間）×245日＝約3,262時間／年。省力化指数0.78
・人員：遅番の投入専任（派遣）が不要に。製袋室の遅番は1名。派遣確保難・日勤社員のカバー出勤が解消
・稼働の安定：装置に約2時間分を装填できるため供給待ち・欠員による停止リスクがなくなり、17.5時間稼働を安定維持
・受注：キャパ不足で断った案件（約4億円規模）に対し、安定稼働と人員の再配置で受注機会の取りこぼしを防ぐ（本装置は製袋機の速度を上げるものではないため「増産」ではなく「安定供給・機会損失防止」として書く）
・副次効果：踏み台昇降・5分おきの反復作業がなくなる身体的負担の軽減、夜勤カバー出勤の解消による定着率向上、投入作業の属人性解消（誰でもパレットに詰められる）
・効果の金額化：削減工数×人件費単価（別紙3）と、創出時間の再配置による付加価値向上で示す。不良率・残業時間・派遣費の削減額は把握できないため根拠に使わない</t>
        </is>
      </c>
      <c r="G40" s="25" t="inlineStr">
        <is>
          <t>行37</t>
        </is>
      </c>
      <c r="H40" s="106" t="inlineStr">
        <is>
          <t xml:space="preserve">記入済</t>
        </is>
      </c>
    </row>
    <row r="41" ht="278.0" customHeight="1">
      <c r="A41" s="16" t="n">
        <v>32</v>
      </c>
      <c r="B41" s="17" t="inlineStr">
        <is>
          <t>2-2 効果</t>
        </is>
      </c>
      <c r="C41" s="18" t="inlineStr">
        <is>
          <t>波及効果</t>
        </is>
      </c>
      <c r="D41" s="19" t="inlineStr">
        <is>
          <t>省力化で生まれた余裕（時間・人手）を、どこに振り向けますか？
会社全体や地域にどんな良い影響がありますか？</t>
        </is>
      </c>
      <c r="E41" s="20" t="inlineStr">
        <is>
          <t>□ リソース再配置先の具体計画
□ 事業全体への影響
□ 地域経済への貢献
□ 需要拡大・競争促進の効果</t>
        </is>
      </c>
      <c r="F41" s="105" t="inlineStr">
        <is>
          <t xml:space="preserve">・創出した時間の振り向け先：①パート従業員の多能工化（オペレーター業務の段階的習得）②多能工化したパートに遅番オペレーター業務を段階的に移管 ③日勤に移った社員オペレーターを品質管理体制の強化（工程内抜き取り検査・トレーサビリティ・不良率低減・歩留まり改善）、提案型ODM案件・多品種小ロット品の立ち上げ、技術継承（熟練者ノウハウのマニュアル化・機械操作の標準化）へ
・会社全体：薄利のOEMから提案型ODMへの比率を高め収益構造を改善。Gラインの省人化ノウハウをEライン（同型・同規模）へ横展開し工場全体の生産性を底上げ
・地域：富山市で約180名の雇用を維持し新卒採用（年3〜4名）を継続。大手食品・医薬品メーカー製品や防災備蓄向けの安定供給
・需要拡大・競争促進：人手不足下でも受託を断らない供給体制で、ブランドオーナーの新規参入を支える</t>
        </is>
      </c>
      <c r="G41" s="21" t="inlineStr">
        <is>
          <t>行38</t>
        </is>
      </c>
      <c r="H41" s="107" t="inlineStr">
        <is>
          <t xml:space="preserve">記入済</t>
        </is>
      </c>
    </row>
    <row r="42" ht="428.0" customHeight="1">
      <c r="A42" s="22" t="n">
        <v>33</v>
      </c>
      <c r="B42" s="17" t="inlineStr">
        <is>
          <t>2-2 効果</t>
        </is>
      </c>
      <c r="C42" s="23" t="inlineStr">
        <is>
          <t>投資回収期間</t>
        </is>
      </c>
      <c r="D42" s="24" t="inlineStr">
        <is>
          <t>投資の回収は何年くらいで見込んでいますか？
人件費の時間単価はいくらですか？年間稼働日数は何日ですか？</t>
        </is>
      </c>
      <c r="E42" s="20" t="inlineStr">
        <is>
          <t>□ 投資総額（税抜。補助対象外の経費も含む）
□ 年間削減工数（時間）
□ 年間稼働日数
□ 人件費単価（円/時間）＝事業者全体の総人件費÷総労働時間（従業員＋役員）の算出根拠
□ 増加付加価値額＝（計画最終年－基準年度）÷計画年数
□ 回収期間の計算（目安：1年未満。採択8社は0.17～0.76年）</t>
        </is>
      </c>
      <c r="F42" s="105" t="inlineStr">
        <is>
          <t xml:space="preserve">・計算式（その3 別紙3）：投資回収期間＝投資総額÷（削減工数×年間稼働日数×人件費単価＋増加した付加価値額）
・投資総額：92,000,000円（税抜）→別紙3には税込101,200,000円で入力（補助対象外経費：ユーティリティ工事・据付等の当社手配分があれば加算→要確認）
・削減工数：別紙1の自動計算13.32時間／日（削減17.17時間−発生3.85時間）
・年間稼働日数：245日（ヒアリング済み）
・人件費単価：全社の総人件費1,021,940,577円（2026/3期、法定福利費等込み）÷総労働時間368,480時間（従業員181名＋役員7名＝188名×245日×8時間）＝2,773円／時（勤怠資料で総労働時間が確定次第差し替え）
・労働時間削減額：13.32時間×245日×2,773円＝9,050,697円／年
・増加した付加価値額：297,960,717円（3年目2031/3期1,891,288,147円−基準年度2028/3期1,593,327,430円。採択事例7社と同じ「総額」で入力。1年あたりに直すと99,320,239円）
・投資回収期間：101,200,000÷（9,050,697＋297,960,717）＝0.33年（1年あたり解釈でも101,200,000÷（9,050,697＋99,320,239）＝0.93年で1年未満。採択8社0.17〜0.76年と同水準）
・算定根拠欄には、Gライン部門での回収（省人化＋安定稼働による受注機会確保＝約4億円規模の案件取り込み）も併記する</t>
        </is>
      </c>
      <c r="G42" s="25" t="inlineStr">
        <is>
          <t>行39</t>
        </is>
      </c>
      <c r="H42" s="106" t="inlineStr">
        <is>
          <t xml:space="preserve">記入済（総労働時間は要差替え）</t>
        </is>
      </c>
    </row>
    <row r="43" ht="16.5" customHeight="1">
      <c r="A43" s="117" t="n"/>
      <c r="B43" s="117" t="inlineStr">
        <is>
          <t>3. 省力化で生まれるリソースの活用と付加価値創出</t>
        </is>
      </c>
      <c r="C43" s="118" t="n"/>
      <c r="D43" s="118" t="n"/>
      <c r="E43" s="118" t="n"/>
      <c r="F43" s="119" t="n"/>
      <c r="G43" s="117" t="n"/>
      <c r="H43" s="117" t="n"/>
    </row>
    <row r="44" ht="263.0" customHeight="1">
      <c r="A44" s="16" t="n">
        <v>34</v>
      </c>
      <c r="B44" s="17" t="inlineStr">
        <is>
          <t>3. 付加価値創出</t>
        </is>
      </c>
      <c r="C44" s="18" t="inlineStr">
        <is>
          <t>リソース配分方針</t>
        </is>
      </c>
      <c r="D44" s="19" t="inlineStr">
        <is>
          <t>省力化で生まれた時間や人手を、具体的にどう使いますか？
できれば配分の割合（%）や人時で教えてください。</t>
        </is>
      </c>
      <c r="E44" s="20" t="inlineStr">
        <is>
          <t>□ 創出されるリソース量（人時/日または時間/年で定式化）
□ 配分先（5～6分野）
□ 各配分先への配分率（%）と人時数
□ 各配分先のKPI（成果指標）が立てられるか
□ 配分の優先順位が経営戦略・課題と紐づいているか</t>
        </is>
      </c>
      <c r="F44" s="105" t="inlineStr">
        <is>
          <t xml:space="preserve">・創出されるリソース量：799分／日≒13.3人時／日≒約3,262人時／年（Gライン製袋室、月平均）。内訳：早番0分（業務転換）、中番380〜462分、遅番420分から、入替・型替え等を差し引き
・配分先（案）：①パートの多能工化教育（オペレーター業務の習得）②遅番オペレーター業務のパートへの段階移管（一部稼働日から開始し担当日数を拡大）③社員オペレーターの日勤化→品質管理（工程内検査・トレーサビリティ・不良率低減）④提案型ODM・多品種小ロット品の立ち上げ対応 ⑤技術継承・マニュアル化・機械操作の標準化 ⑥Eライン横展開の準備
・配分率（%）・人時数・各KPI：未設定→計画書作成時に設定（例：品質管理○時間／週、ODM試作○件／年、マニュアル○件）
・優先順位：経営課題②→①→③の順（夜勤の安定→稼働・受注→高付加価値化）に対応</t>
        </is>
      </c>
      <c r="G44" s="21" t="inlineStr">
        <is>
          <t>行40</t>
        </is>
      </c>
      <c r="H44" s="107" t="inlineStr">
        <is>
          <t xml:space="preserve">要追加確認（配分率・KPI）</t>
        </is>
      </c>
    </row>
    <row r="45" ht="218.0" customHeight="1">
      <c r="A45" s="22" t="n">
        <v>35</v>
      </c>
      <c r="B45" s="17" t="inlineStr">
        <is>
          <t>3. 付加価値創出</t>
        </is>
      </c>
      <c r="C45" s="23" t="inlineStr">
        <is>
          <t>既存事業の向上</t>
        </is>
      </c>
      <c r="D45" s="24" t="inlineStr">
        <is>
          <t>既存の事業で、省力化によって品質が上がる・生産量が増える部分はどこですか？
具体的にどれくらい改善しますか？</t>
        </is>
      </c>
      <c r="E45" s="20" t="inlineStr">
        <is>
          <t>□ 品質向上の具体内容と数値
□ 生産量増加の見込み
□ 歩留まり改善率
□ 原価削減への寄与</t>
        </is>
      </c>
      <c r="F45" s="105" t="inlineStr">
        <is>
          <t xml:space="preserve">・品質向上：創出した時間で工程内の抜き取り検査・トレーサビリティ管理を強化（不良率の数値目標は置かず、検査回数・記録件数などの取組指標で示す）
・既存の多品種小ロット品の製造維持：人手や設備を圧迫せず既存品を安定生産し、受注機会の取りこぼしを防ぐ
・生産量：本装置で製袋機の能力（150袋／分）は変わらない。投入担当の欠員による停止・遅れがなくなる分、計画どおりの生産（1品種の日15万袋・2品種の日10万袋）を安定して達成
・原価面：派遣費・残業の削減額は把握できないため根拠に使わない。安定稼働と人員の再配置による付加価値向上で説明する</t>
        </is>
      </c>
      <c r="G45" s="25" t="inlineStr">
        <is>
          <t>行41</t>
        </is>
      </c>
      <c r="H45" s="107" t="inlineStr">
        <is>
          <t xml:space="preserve">記入済</t>
        </is>
      </c>
    </row>
    <row r="46" ht="218.0" customHeight="1">
      <c r="A46" s="16" t="n">
        <v>36</v>
      </c>
      <c r="B46" s="17" t="inlineStr">
        <is>
          <t>3. 付加価値創出</t>
        </is>
      </c>
      <c r="C46" s="18" t="inlineStr">
        <is>
          <t>新規事業・営業強化</t>
        </is>
      </c>
      <c r="D46" s="19" t="inlineStr">
        <is>
          <t>省力化で余裕ができたら、新しく始めたいこと・強化したいことはありますか？
（新商品、新規顧客、新サービスなど）</t>
        </is>
      </c>
      <c r="E46" s="20" t="inlineStr">
        <is>
          <t>□ 新規事業の構想（既存事業の延長線上）
□ 営業強化の計画
□ 新規顧客の具体的見込み
□ 飛躍しすぎていないか</t>
        </is>
      </c>
      <c r="F46" s="105" t="inlineStr">
        <is>
          <t xml:space="preserve">・提案型ODM案件の拡大：レシピ指定のOEM（薄利）に対し、当社から企画・提案するODM（イオンPB等、利益率が高い）の比率を高める。日勤に戻った社員の時間を試作・提案に充てる
・大型受託への対応力：直近で断った年間800万袋規模（約4億円）のような案件に対し、安定稼働と人員体制で対応可能に
・Eラインへの横展開：Gラインで効果を確認後、同型のEライン（設置場所の柱などレイアウト課題あり）に同様の自動供給装置を導入し、パウチゼリー2ラインの省人化
・新商品・新規顧客の具体的見込み：未ヒアリング（機能性ゼリー・美容飲料・防災備蓄向けの引き合いがあれば追記）</t>
        </is>
      </c>
      <c r="G46" s="21" t="inlineStr">
        <is>
          <t>行42</t>
        </is>
      </c>
      <c r="H46" s="107" t="inlineStr">
        <is>
          <t xml:space="preserve">要追加確認</t>
        </is>
      </c>
    </row>
    <row r="47" ht="128.0" customHeight="1">
      <c r="A47" s="22" t="n">
        <v>37</v>
      </c>
      <c r="B47" s="17" t="inlineStr">
        <is>
          <t>3. 付加価値創出</t>
        </is>
      </c>
      <c r="C47" s="23" t="inlineStr">
        <is>
          <t>品質・認証体制</t>
        </is>
      </c>
      <c r="D47" s="24" t="inlineStr">
        <is>
          <t>HACCP、ISO、その他の認証を取得する計画はありますか？
品質管理体制をどう強化しますか？</t>
        </is>
      </c>
      <c r="E47" s="20" t="inlineStr">
        <is>
          <t>□ HACCP/ISO等の取得計画
□ 品質管理体制の強化内容
□ 記録・トレーサビリティ体制</t>
        </is>
      </c>
      <c r="F47" s="105" t="inlineStr">
        <is>
          <t xml:space="preserve">・取得済み：FSSC22000（食品安全）、ISO9001（品質管理）
・強化内容：創出した時間で工程内の抜き取り検査・トレーサビリティ管理を強化し、不良率低減・歩留まり改善
・記録・トレーサビリティ：ロット管理の現状・強化計画の詳細は未ヒアリング
・新たな認証取得計画：未ヒアリング</t>
        </is>
      </c>
      <c r="G47" s="25" t="inlineStr">
        <is>
          <t>行43</t>
        </is>
      </c>
      <c r="H47" s="106" t="inlineStr">
        <is>
          <t xml:space="preserve">要追加確認</t>
        </is>
      </c>
    </row>
    <row r="48" ht="203.0" customHeight="1">
      <c r="A48" s="16" t="n">
        <v>38</v>
      </c>
      <c r="B48" s="17" t="inlineStr">
        <is>
          <t>3. 付加価値創出</t>
        </is>
      </c>
      <c r="C48" s="18" t="inlineStr">
        <is>
          <t>人材育成・技術継承</t>
        </is>
      </c>
      <c r="D48" s="19" t="inlineStr">
        <is>
          <t>熟練者の技術を次の世代に伝える計画はありますか？
マニュアル整備や教育体制はどうしていますか？</t>
        </is>
      </c>
      <c r="E48" s="20" t="inlineStr">
        <is>
          <t>□ 技術継承の計画
□ 多能工化の仕組み
□ マニュアル整備状況
□ ローテーション体制
□ 教育訓練の頻度・内容</t>
        </is>
      </c>
      <c r="F48" s="105" t="inlineStr">
        <is>
          <t xml:space="preserve">・多能工化の仕組み：「社員＝オペレーター、パート＝投入」の役割分担を見直し、中番の投入パートに機械オペレーション業務を段階的に教育。習熟後、一部の稼働日から遅番のオペレーターを担当し、担当日数を順次拡大
・技術継承：熟練者の暗黙知（機械操作・段取り・トラブル対応）の言語化とマニュアル化、機械操作の標準化
・ローテーション体制・教育訓練の頻度・内容：未ヒアリング（計画書には「○か月で習熟→遅番○日／月から開始」等の段階を記載したい）
・フジシールによる装置の操作教育・生産立会（現地改造工事に約11日）</t>
        </is>
      </c>
      <c r="G48" s="21" t="inlineStr">
        <is>
          <t>行44</t>
        </is>
      </c>
      <c r="H48" s="107" t="inlineStr">
        <is>
          <t xml:space="preserve">要追加確認</t>
        </is>
      </c>
    </row>
    <row r="49" ht="158.0" customHeight="1">
      <c r="A49" s="22" t="n">
        <v>39</v>
      </c>
      <c r="B49" s="17" t="inlineStr">
        <is>
          <t>3. 付加価値創出</t>
        </is>
      </c>
      <c r="C49" s="23" t="inlineStr">
        <is>
          <t>地域への貢献</t>
        </is>
      </c>
      <c r="D49" s="24" t="inlineStr">
        <is>
          <t>御社の事業は地域にどう貢献していますか？
省力化投資によって地域への良い影響はありますか？</t>
        </is>
      </c>
      <c r="E49" s="20" t="inlineStr">
        <is>
          <t>□ 地元サプライチェーンへの発注
□ 雇用維持・創出
□ 国の政策との整合性
□ 地域未来牽引企業等の認定有無</t>
        </is>
      </c>
      <c r="F49" s="105" t="inlineStr">
        <is>
          <t xml:space="preserve">・地域雇用：富山市の工場で約180名を雇用し、新卒採用を年3〜4名継続。省力化で夜勤カバー出勤を解消し働きやすい職場に
・地域資源：富山の良質な水資源を守り活かす経営理念。1896年創業の地元企業
・国の政策との整合：人手不足対策としての省力化投資、賃上げ（足下3%→3.5%）、防災備蓄向けゼリー飲料の安定供給
・地元サプライチェーンへの発注・地域未来牽引企業等の認定：未ヒアリング</t>
        </is>
      </c>
      <c r="G49" s="25" t="inlineStr">
        <is>
          <t>行45</t>
        </is>
      </c>
      <c r="H49" s="106" t="inlineStr">
        <is>
          <t xml:space="preserve">要追加確認</t>
        </is>
      </c>
    </row>
    <row r="50" ht="16.5" customHeight="1">
      <c r="A50" s="117" t="n"/>
      <c r="B50" s="117" t="inlineStr">
        <is>
          <t>3-1. 労働生産性と賃上げ</t>
        </is>
      </c>
      <c r="C50" s="118" t="n"/>
      <c r="D50" s="118" t="n"/>
      <c r="E50" s="118" t="n"/>
      <c r="F50" s="119" t="n"/>
      <c r="G50" s="117" t="n"/>
      <c r="H50" s="117" t="n"/>
    </row>
    <row r="51" ht="668.0" customHeight="1">
      <c r="A51" s="16" t="n">
        <v>40</v>
      </c>
      <c r="B51" s="17" t="inlineStr">
        <is>
          <t>3-1 賃上げ</t>
        </is>
      </c>
      <c r="C51" s="18" t="inlineStr">
        <is>
          <t>労働生産性の向上</t>
        </is>
      </c>
      <c r="D51" s="19" t="inlineStr">
        <is>
          <t>付加価値額（営業利益＋人件費＋減価償却費）は、投資後にどう伸びる見込みですか？
各要素の年度別の見込みを教えてください。</t>
        </is>
      </c>
      <c r="E51" s="20" t="inlineStr">
        <is>
          <t>□ 営業利益の推移見込み
□ 人件費の推移見込み
□ 減価償却費（定額法 or 定率法、耐用年数）
□ 付加価値額のCAGR（目安：4%以上）</t>
        </is>
      </c>
      <c r="F51" s="105" t="inlineStr">
        <is>
          <t xml:space="preserve">・付加価値額（営業利益＋人件費＋減価償却費）の年度別計画（円）と、各年度に起きること：
　2026/3期実績 1,525,628,095（営業利益204,823,050／人件費1,021,940,577／償却298,864,468。労働者188名＝従業員181＋役員7）
　2027/3期 進行期 1,540,528,583：設備導入前。価格転嫁を進めつつ売上+1.5%、利益は少し上がる程度（営業利益212,802,355）。2026年4月実施の賃上げを反映し1人当たり給与+3%。従業員177名
　2028/3期 基準年度 1,593,327,430：2028年1月に装置が稼働するが効果は約2か月分。売上+1.5%、利益は少し上がる程度（214,284,593）。新卒4名で181名、給与+3%
　2029/3期 1年目 1,692,179,517：装置の通年稼働で遅番の投入担当が不要になり、投入担当の確保に左右されず17.5時間稼働を安定維持→キャパ不足で断っていた約4億円規模の案件を取り込み売上+4.0%（+460百万円）。省力化で労務費約905万円削減、原価率−0.25pt。本設備の償却9,200,000円を計上。給与+3.5%、184名
　2030/3期 2年目 1,791,169,755：多能工化したパートが遅番オペレーターを担い、社員が日勤で提案型ODM・品質管理に注力→利益率の高いODM案件（イオンPB型：売価56円／原価44円）の比率が上がり原価率−0.25pt、売上+4.0%。188名
　2031/3期 3年目 1,891,288,147：ODM比率のさらなる向上と大手取引先の増産要請への対応で売上+4.0%、原価率−0.25pt。市場成長（清涼飲料販売額+5.3%、機能性表示食品飲料5年で1.9倍）を下回る保守的な水準。Eライン横展開の効果は織り込まない。191名
・労働生産性（付加価値額÷労働者数）：基準年度8,475,145円→3年目9,551,960円、年平均成長率4.06%（要件4.0%以上。余裕は小さいので前提を動かす場合は再計算）
・付加価値額の年平均成長率：5.88%
・減価償却：既存設備は298,864,468円で横ばい（更新投資で維持と仮定）、本設備は定額法・耐用年数10年（食料品製造業用設備）で9,200,000円／年を1年目から計上（別紙4は基準年度に本設備の償却を入力できない仕様）
・営業利益率：1.83%→1.88%→1.86%→2.10%→2.32%→2.55%（2025/3期実績3.3%の範囲内に収める保守設計）</t>
        </is>
      </c>
      <c r="G51" s="21" t="inlineStr">
        <is>
          <t>行46</t>
        </is>
      </c>
      <c r="H51" s="106" t="inlineStr">
        <is>
          <t xml:space="preserve">記入済（前提は要承認）</t>
        </is>
      </c>
    </row>
    <row r="52" ht="443.0" customHeight="1">
      <c r="A52" s="22" t="n">
        <v>41</v>
      </c>
      <c r="B52" s="17" t="inlineStr">
        <is>
          <t>3-1 賃上げ</t>
        </is>
      </c>
      <c r="C52" s="23" t="inlineStr">
        <is>
          <t>賃上げ計画</t>
        </is>
      </c>
      <c r="D52" s="24" t="inlineStr">
        <is>
          <t>従業員の給与について、基準年度の一人当たり給与支給総額はいくらですか？
今後の賃上げ計画を教えてください。</t>
        </is>
      </c>
      <c r="E52" s="20" t="inlineStr">
        <is>
          <t>□ 基準年度の一人当たり給与支給総額
□ 年平均成長率（目標値は自ら設定。3.5%以上）
□ 対象給与の定義確認（給料・賞与・課税対象の各種手当を含む。法定福利費・退職金は除く）
□ 賃上げ原資の説明方法（①定式化型「営業利益増分の○%」②方針・積算型「役員報酬据置」等）
□ 役員報酬の扱い（据置きなら従業員に厚く配分の根拠になる）
□ 都道府県最低賃金の成長率との比較
□ 未達時の返還ルール（達成率に応じ返還・成長率0以下は全額）の説明
□ 交付申請時までに従業員へ表明が必要（賃金引き上げ計画の表明書）</t>
        </is>
      </c>
      <c r="F52" s="105" t="inlineStr">
        <is>
          <t xml:space="preserve">・直近決算期（2026/3期）の1人当たり給与支給総額：4,319,298円（全月分の給与支給総額717,003,483円÷166名）
・足下の賃上げ：年3%（2027/3期 4,449,766円→基準年度2028/3期 4,584,175円。年平均3.02%＝要件3%以上。様式の切り捨て計算で2.99%にならないようごく僅かに上乗せ）
・基準年度以降：年3.5%（2029/3期 4,745,570円→2030/3期 4,912,647円→2031/3期 5,085,606円。年平均成長率3.52%＝要件3.5%以上）
・全月分の給与支給を受けた従業員数：2027/3期177名→2028/3期181名→2029/3期184名→2030/3期188名→2031/3期191名（申請時点177名に毎年の新卒採用3〜4名を上乗せ、退職は見込まない）
・給与支給総額（全月分）：787,608,582円→829,735,675円→873,184,880円→923,577,636円→971,350,746円
・実績：2026年4月に人件費総額ベースで約5%の賃上げを実施済み。事業場内最低賃金は地域別＋30円以上を毎年維持（1,140円→1,149円以上）
・賃上げ原資（ストーリーとの対応）：①省力化による労務費削減 約905万円／年 ②安定稼働・ODM比率向上による付加価値額の増加（基準年度比で1年目+99百万円、3年目+298百万円）。営業利益は基準年度214百万円→3年目331百万円（+116百万円）なので「営業利益増加分の一部を原資」とする定式化も可能（要検討）。役員報酬65,655,000円は据置
・対象給与の定義：給料・賞与・課税対象の各種手当（法定福利費・退職金は除く）で集計済み</t>
        </is>
      </c>
      <c r="G52" s="25" t="inlineStr">
        <is>
          <t>行47</t>
        </is>
      </c>
      <c r="H52" s="106" t="inlineStr">
        <is>
          <t xml:space="preserve">記入済（原資の定式化は要検討）</t>
        </is>
      </c>
    </row>
    <row r="53" ht="409.5" customHeight="1">
      <c r="A53" s="16" t="n">
        <v>42</v>
      </c>
      <c r="B53" s="17" t="inlineStr">
        <is>
          <t>3-1 賃上げ</t>
        </is>
      </c>
      <c r="C53" s="18" t="inlineStr">
        <is>
          <t>事業場内最低賃金</t>
        </is>
      </c>
      <c r="D53" s="19" t="inlineStr">
        <is>
          <t>現在の事業場内最低賃金はいくらですか？
都道府県の最低賃金との差はいくらですか？</t>
        </is>
      </c>
      <c r="E53" s="20" t="inlineStr">
        <is>
          <t>□ 現在の事業場内最低賃金（円）
□ 都道府県最低賃金（円）
□ 差額（＋30円以上が必須）
□ 毎年の改定への対応計画
□ 最低賃金引上げ特例（補助率1/2→2/3）の該当確認：2024年10月～2025年9月に「地域別最低賃金以上～2025年度改定額未満」の従業員が30%以上の月が3か月以上あるか</t>
        </is>
      </c>
      <c r="F53" s="105" t="inlineStr">
        <is>
          <t xml:space="preserve">・現在の事業場内最低賃金：1,140円
・富山県の地域別最低賃金：2026年10月1日から時給1,119円（改定後）。差額は＋21円で要件（＋30円以上）に不足
・対応：事業場内最低賃金を1,149円以上（計画上は1,150円以上を想定）へ引き上げ、＋30円以上を確保する
・今後の設計：毎年10月の地域別最低賃金の改定に対し、常に「改定後の地域別最低賃金＋30円以上」を維持するよう事業場内最低賃金を毎年見直す方針で計画書に記載（今後の最低賃金上昇も織り込む）
・最低賃金引上げ特例（補助率2/3）の該当：未確認（対象期間に地域別最低賃金以上〜改定額未満の従業員が30%以上いた月が3か月以上あるか）
【補足調査（2026/9/30、公的資料）】
・富山県最低賃金の推移：令和3年度877円→908→948→998→1,062→令和8年度1,119円（令和8年10月1日発効、+57円・+5.37%。5年で+242円・+27.6%）（富山労働局「最低賃金額の推移」、厚労省 答申状況 2026/9/3）。北陸3県で富山が最高額（新潟1,108・石川1,113・福井1,112円）
・全国加重平均：930円（R3）→1,177円（R8、+56円は目安制度開始以来2番目）。骨太方針2026は2030年代前半に全国平均1,500円
・当社の対応：1,140円→1,149円以上（計画1,150円以上）へ引上げ、以後も「県改定額＋30円以上」を毎年維持</t>
        </is>
      </c>
      <c r="G53" s="21" t="inlineStr">
        <is>
          <t>行48</t>
        </is>
      </c>
      <c r="H53" s="106" t="inlineStr">
        <is>
          <t xml:space="preserve">記入済（引上げ実施の確認）</t>
        </is>
      </c>
    </row>
    <row r="54" ht="323.0" customHeight="1">
      <c r="A54" s="22" t="n">
        <v>43</v>
      </c>
      <c r="B54" s="17" t="inlineStr">
        <is>
          <t>3-1 賃上げ</t>
        </is>
      </c>
      <c r="C54" s="23" t="inlineStr">
        <is>
          <t>賃上げの好循環</t>
        </is>
      </c>
      <c r="D54" s="24" t="inlineStr">
        <is>
          <t>賃上げによって、社員の定着率や採用力にどんな効果がありますか？
賃上げを「コスト」ではなく「投資」と考えていますか？</t>
        </is>
      </c>
      <c r="E54" s="20" t="inlineStr">
        <is>
          <t>□ 賃上げ→離職率低下→採用力向上のストーリー
□ 労働分配率の推移（悪化を反転させる見せ方も有効）
□ 大幅賃上げ特例の活用検討：①給与CAGR6.0%以上＋②事業場内最低賃金を地域別最低賃金＋50円以上の水準（両方必須）
□ 特例利用時は達成に向けた具体的取組（賃金テーブル改定・評価制度等）を確認
□ 未達時は引上げ分の返還リスクがあること（無理のない水準で）</t>
        </is>
      </c>
      <c r="F54" s="105" t="inlineStr">
        <is>
          <t xml:space="preserve">・夜勤カバー出勤の解消・踏み台での反復作業の解消→従業員の負担軽減・定着率向上
・多能工化でパートがオペレーター業務を担えるようになり、処遇向上（時給・手当）と賃上げの根拠に。社員は高付加価値業務へ
・事業場内最低賃金は地域別最低賃金＋30円以上を毎年維持（2026年10月改定1,119円→1,149円以上へ引上げ）
・大幅賃上げ特例：使わない（給与CAGR3.5%、事業場内最低賃金＋50円の要件は満たさない前提）
・労働分配率の推移、賃上げ→採用力向上の実績（応募数の変化等）：未ヒアリング
【補足調査（2026/9/30）】賃上げの外部環境：2026年春闘 賃上げ率5.01%（中小4.69%、パート時給+6.18%）（連合 2026/7/3）／中小企業の賃上げ率4.01%、防衛的賃上げ60.9%、理由「人材の確保・採用」66.7%（日本商工会議所 2026/6/8）／製造業の賃金改定率5.2%（厚労省 令和7年調査）→人材確保のための賃上げが標準化。原資を省力化で生む本事業の必然性</t>
        </is>
      </c>
      <c r="G54" s="25" t="inlineStr">
        <is>
          <t>行49, 50</t>
        </is>
      </c>
      <c r="H54" s="107" t="inlineStr">
        <is>
          <t xml:space="preserve">記入済</t>
        </is>
      </c>
    </row>
    <row r="55" ht="16.5" customHeight="1">
      <c r="A55" s="117" t="n"/>
      <c r="B55" s="117" t="inlineStr">
        <is>
          <t>4. 財務計画（資金調達と数値計画）</t>
        </is>
      </c>
      <c r="C55" s="118" t="n"/>
      <c r="D55" s="118" t="n"/>
      <c r="E55" s="118" t="n"/>
      <c r="F55" s="119" t="n"/>
      <c r="G55" s="117" t="n"/>
      <c r="H55" s="117" t="n"/>
    </row>
    <row r="56" ht="173.0" customHeight="1">
      <c r="A56" s="16" t="n">
        <v>44</v>
      </c>
      <c r="B56" s="17" t="inlineStr">
        <is>
          <t>4. 財務計画</t>
        </is>
      </c>
      <c r="C56" s="18" t="inlineStr">
        <is>
          <t>資金調達</t>
        </is>
      </c>
      <c r="D56" s="19" t="inlineStr">
        <is>
          <t>投資資金はどう用意しますか？
自己資金の割合は？金融機関への相談状況は？</t>
        </is>
      </c>
      <c r="E56" s="20" t="inlineStr">
        <is>
          <t>□ 自己資金の額
□ 融資予定額
□ 補助金額（補助金入金前のつなぎ資金の手当ても確認）
□ メインバンク名
□ 融資相談の状況（自己資金で足りる場合もリスクヘッジとして相談推奨）
□ 金融機関確認書（本事業経費に1円以上の借入がある場合に必須。複数先でも代表1行分）
□ 季節資金サイクル・売掛回収時期（支払能力の説明材料）</t>
        </is>
      </c>
      <c r="F56" s="105" t="inlineStr">
        <is>
          <t xml:space="preserve">・資金調達：全額自己資金（金融機関からの借入なし）。補助金46,000,000円（1/2）は事業完了後の入金となるため、投資総額（税込約1億円）を自己資金で手当てする
・手元資金：2026/3期末の現預金912,652,687円（約9.1億円）
・金融機関確認書：本事業経費に借入がないため不要
・メインバンク名・融資相談状況：未ヒアリング
・支払条件：契約時・納入時・検収時に各1/3（フジシール見積）</t>
        </is>
      </c>
      <c r="G56" s="21" t="inlineStr">
        <is>
          <t>行51</t>
        </is>
      </c>
      <c r="H56" s="107" t="inlineStr">
        <is>
          <t xml:space="preserve">記入済</t>
        </is>
      </c>
    </row>
    <row r="57" ht="488.0" customHeight="1">
      <c r="A57" s="22" t="n">
        <v>45</v>
      </c>
      <c r="B57" s="17" t="inlineStr">
        <is>
          <t>4. 財務計画</t>
        </is>
      </c>
      <c r="C57" s="23" t="inlineStr">
        <is>
          <t>売上の見込み</t>
        </is>
      </c>
      <c r="D57" s="24" t="inlineStr">
        <is>
          <t>今後3～5年の売上見込みとその根拠を教えてください。
確定している受注や取引先からの打診はありますか？</t>
        </is>
      </c>
      <c r="E57" s="20" t="inlineStr">
        <is>
          <t>□ 顧客からの確定情報（最強根拠：継続注文の確定・合意済み価格・受注済み）
□ 「新規需要の開拓を前提としない」型か（既存需要の切替・置換なら最も確実）
□ 市場成長率データ
□ 過去トレンドからの延伸
□ 年度別の成長ステップ（段階的立上げ）
□ 設備能力に対する稼働率設定（能力の5割程度に留める保守設計も有効）
□ 保守的な前提であること（意図的な保守性は明示すると信頼性向上）</t>
        </is>
      </c>
      <c r="F57" s="105" t="inlineStr">
        <is>
          <t xml:space="preserve">・売上高の計画（円）：2026/3期実績11,168,904,537→2027/3期（進行期）11,336,438,105（+1.5%）→2028/3期（基準年度）11,506,484,677（+1.5%）→2029/3期 11,966,744,064（+4.0%）→2030/3期 12,445,413,827（+4.0%）→2031/3期 12,943,230,380（+4.0%）
・進行期・基準年度：打合せメモどおり「売上・利益は少し上がるくらい」（+1.5%）。基準年度は2028年1月の稼働開始で効果が約2か月分にとどまるため本事業の効果は織り込まない。進行期の試算表を受領したら差し替え
・1年目（2029/3期）+4.0%（+460百万円）：装置の通年稼働で遅番の投入担当が不要になり、17.5時間稼働を投入担当の確保に左右されず安定維持→キャパ不足で断っていた案件（直近最大 年間800万袋×50円＝約4億円規模）を取り込む
・2年目（2030/3期）+4.0%（+479百万円）：多能工化でパートが遅番オペレーターを担い、社員が日勤で提案型ODM（利益率が高い）に注力→機能性・介護・防災向けODM案件の獲得
・3年目（2031/3期）+4.0%（+498百万円）：ODM比率のさらなる向上と大手取引先の増産要請への対応。市場データ（清涼飲料の生産者販売金額+5.3%、機能性表示食品飲料の生産量5年で1.9倍、OEM比率30.1%へ上昇、介護食市場2030年度2,245億円）を下回る保守的な水準
・Eライン横展開の効果は織り込まない（保守性）。本装置は製袋機の能力（150袋／分）を上げるものではなく、稼働の安定化による取りこぼし防止と人員の再配置で売上を支える
・過去トレンド：2024/3期110.5億→2025/3期116.4億→2026/3期111.7億（価格転嫁の遅れで一時減）</t>
        </is>
      </c>
      <c r="G57" s="25" t="inlineStr">
        <is>
          <t>行52</t>
        </is>
      </c>
      <c r="H57" s="106" t="inlineStr">
        <is>
          <t xml:space="preserve">記入済（進行期は試算表で差替え）</t>
        </is>
      </c>
    </row>
    <row r="58" ht="458.0" customHeight="1">
      <c r="A58" s="16" t="n">
        <v>46</v>
      </c>
      <c r="B58" s="17" t="inlineStr">
        <is>
          <t>4. 財務計画</t>
        </is>
      </c>
      <c r="C58" s="18" t="inlineStr">
        <is>
          <t>費用の前提</t>
        </is>
      </c>
      <c r="D58" s="19" t="inlineStr">
        <is>
          <t>売上原価・人件費・その他経費の今後の見込みと前提条件を教えてください。
変動費と固定費に分けて教えてください。</t>
        </is>
      </c>
      <c r="E58" s="20" t="inlineStr">
        <is>
          <t>□ 変動費の前提（売上比率等）
□ 固定費の前提（修繕費、リース料等）
□ 人件費の前提（昇給率等）
□ 減価償却費（方法と耐用年数）</t>
        </is>
      </c>
      <c r="F58" s="105" t="inlineStr">
        <is>
          <t xml:space="preserve">・売上原価率：2026/3期実績90.59%→進行期90.57%→基準年度90.50%→1年目90.25%→2年目90.00%→3年目89.75%
　（進行期・基準年度は価格転嫁で僅かに改善。1年目以降は年0.25ポイント改善：省力化による労務費削減 約905万円／年（0.08pt相当）＋提案型ODM比率の向上（ODM：売価56円／原価44円に対しOEMは工場経費込みで赤字スレスレ）＋価格転嫁の進展）
・人件費（法定福利費等込み）：従業員1人当たり人件費を足下3%→3.5%で引上げ、従業員数177→181→184→188→191名で積算。役員報酬65,655,000円は据置。2027/3期1,028,861,760円→2028/3期1,080,178,369円→2029/3期1,133,090,527円→2030/3期1,194,468,069円→2031/3期1,252,619,955円（売上原価内と販管費内は2026/3期実績の比率71.8：28.2で按分）
・減価償却費：既存設備298,864,468円で横ばい（更新投資で維持と仮定）＋本設備92,000,000円を定額法10年で9,200,000円／年（2029/3期から。合計308,064,468円）
・その他販管費：売上高比4.77%（2026/3期実績）で固定
・変動費・固定費の分け方：売上原価（人件費・償却を除く）とその他販管費は売上連動（変動費）、人件費・減価償却費は積上げ（固定費）
・派遣費・残業代の削減額は把握できないため根拠に使わない
・労働分配率（人件費÷付加価値額）：67.0%（実績）→66.8%→67.8%→67.0%→66.7%→66.2%（賃上げと収益性の両立）</t>
        </is>
      </c>
      <c r="G58" s="21" t="inlineStr">
        <is>
          <t>行53</t>
        </is>
      </c>
      <c r="H58" s="106" t="inlineStr">
        <is>
          <t xml:space="preserve">記入済（前提は要承認）</t>
        </is>
      </c>
    </row>
    <row r="59" ht="458.0" customHeight="1">
      <c r="A59" s="22" t="n">
        <v>47</v>
      </c>
      <c r="B59" s="17" t="inlineStr">
        <is>
          <t>4. 財務計画</t>
        </is>
      </c>
      <c r="C59" s="23" t="inlineStr">
        <is>
          <t>付加価値額の推移</t>
        </is>
      </c>
      <c r="D59" s="24" t="inlineStr">
        <is>
          <t>年度別の営業利益・人件費・減価償却費の推移を教えてください。
（付加価値額＝営業利益＋人件費＋減価償却費）</t>
        </is>
      </c>
      <c r="E59" s="20" t="inlineStr">
        <is>
          <t>□ 年度別の営業利益
□ 年度別の人件費総額
□ 年度別の減価償却費
□ 従業員数の増減計画
□ 4指標の整合性確認</t>
        </is>
      </c>
      <c r="F59" s="105" t="inlineStr">
        <is>
          <t xml:space="preserve">・年度別（円）：営業利益／人件費／減価償却費／付加価値額／労働者数（従業員＋役員）
　2026/3期 実績　204,823,050／1,021,940,577／298,864,468／1,525,628,095／188
　2027/3期 進行期　212,802,355／1,028,861,760／298,864,468／1,540,528,583／184
　2028/3期 基準年度　214,284,593／1,080,178,369／298,864,468／1,593,327,430／188
　2029/3期 1年目　251,024,522／1,133,090,527／308,064,468／1,692,179,517／191
　2030/3期 2年目　288,637,218／1,194,468,069／308,064,468／1,791,169,755／195
　2031/3期 3年目　330,603,724／1,252,619,955／308,064,468／1,891,288,147／198
・4指標：省力化指数0.78／付加価値額の年平均成長率5.88%／労働生産性の年平均成長率4.06%（8,475,145円→9,551,960円）／1人当たり給与支給総額の年平均成長率3.52%（4,584,175円→5,085,606円）／投資回収期間0.33年
・ストーリーとの対応：基準年度までは「少し上がる」→1年目は装置の通年稼働で安定供給・受注取り込み（売上+4%、労務費削減）→2年目は多能工化で社員をODM提案・品質管理へ再配置（ODM比率向上で原価率改善）→3年目はODM拡大の定着。付加価値額は人件費の増加（賃上げ＋採用）と営業利益の増加の両方で伸びる
・従業員数の増減計画：新卒採用で年3〜4名増（給与支給全月分の従業員数も同じ）。労働生産性の分母が増えるため、付加価値額は年5.9%の伸びが必要で、その根拠が上記</t>
        </is>
      </c>
      <c r="G59" s="25" t="inlineStr">
        <is>
          <t>行54</t>
        </is>
      </c>
      <c r="H59" s="106" t="inlineStr">
        <is>
          <t xml:space="preserve">記入済（前提は要承認）</t>
        </is>
      </c>
    </row>
    <row r="60" ht="16.5" customHeight="1">
      <c r="A60" s="117" t="n"/>
      <c r="B60" s="117" t="inlineStr">
        <is>
          <t>5. 実施体制とスケジュール</t>
        </is>
      </c>
      <c r="C60" s="118" t="n"/>
      <c r="D60" s="118" t="n"/>
      <c r="E60" s="118" t="n"/>
      <c r="F60" s="119" t="n"/>
      <c r="G60" s="117" t="n"/>
      <c r="H60" s="117" t="n"/>
    </row>
    <row r="61" ht="203.0" customHeight="1">
      <c r="A61" s="16" t="n">
        <v>48</v>
      </c>
      <c r="B61" s="17" t="inlineStr">
        <is>
          <t>5. 実施体制</t>
        </is>
      </c>
      <c r="C61" s="18" t="inlineStr">
        <is>
          <t>社内体制</t>
        </is>
      </c>
      <c r="D61" s="19" t="inlineStr">
        <is>
          <t>設備導入の責任者は誰ですか？実務担当者は？
各部門の役割分担を教えてください。
また、導入する設備を使いこなせる技術を持った方はいますか？</t>
        </is>
      </c>
      <c r="E61" s="20" t="inlineStr">
        <is>
          <t>□ 責任者（代表者）
□ 実務担当者
□ 各部門の役割
□ 設備を活用する技術力の有無
□ 賃上げ表明の方法</t>
        </is>
      </c>
      <c r="F61" s="105" t="inlineStr">
        <is>
          <t xml:space="preserve">・統括責任者：沖野 寿幸（常務取締役 生産統括本部長兼工場長）
・現場責任者：重倉 健（生産部 部長）
・技術担当責任者：髙本 宏（生産部 次長）
・財務・事務管理責任者：山崎 博之（常務取締役 経営統括本部長）
・技術力：既設SPM機（製袋機）を運転する社員オペレーターが在籍。FSSC22000・ISO9001のもとで機械操作・品質管理を運用中。フジシールの生産立会（約11日）で操作教育を受ける
・各部門の役割分担の詳細（生産部・品質保証部・経理）と賃上げ表明の方法（掲示・書面等）：未ヒアリング</t>
        </is>
      </c>
      <c r="G61" s="21" t="inlineStr">
        <is>
          <t>行55</t>
        </is>
      </c>
      <c r="H61" s="106" t="inlineStr">
        <is>
          <t xml:space="preserve">記入済（賃上げ表明方法は未）</t>
        </is>
      </c>
    </row>
    <row r="62" ht="143.0" customHeight="1">
      <c r="A62" s="22" t="n">
        <v>49</v>
      </c>
      <c r="B62" s="17" t="inlineStr">
        <is>
          <t>5. 実施体制</t>
        </is>
      </c>
      <c r="C62" s="23" t="inlineStr">
        <is>
          <t>社外体制</t>
        </is>
      </c>
      <c r="D62" s="24" t="inlineStr">
        <is>
          <t>設備メーカーのサポート体制はどうですか？
認定支援機関や専門家の支援は受けていますか？</t>
        </is>
      </c>
      <c r="E62" s="20" t="inlineStr">
        <is>
          <t>□ 設備メーカーのサポート内容
□ メンテナンス契約の有無
□ 認定支援機関の関与
□ その他専門家の支援</t>
        </is>
      </c>
      <c r="F62" s="105" t="inlineStr">
        <is>
          <t xml:space="preserve">・設備メーカー：株式会社フジシール（設計・製作・輸送・現地改造工事〜調整〜生産立会 約11日）。当社のパウチ包材の供給元でもある
・計画書作成支援：株式会社ライズウィル（報酬額・契約期間は空欄→申請前に記入）
・認定支援機関の関与：要確認（ライズウィルの認定支援機関番号の有無）
・メンテナンス契約・保守体制・保証期間：未ヒアリング</t>
        </is>
      </c>
      <c r="G62" s="25" t="inlineStr">
        <is>
          <t>行56</t>
        </is>
      </c>
      <c r="H62" s="106" t="inlineStr">
        <is>
          <t xml:space="preserve">要追加確認（保守体制）</t>
        </is>
      </c>
    </row>
    <row r="63" ht="144" customHeight="1">
      <c r="A63" s="16" t="n">
        <v>50</v>
      </c>
      <c r="B63" s="17" t="inlineStr">
        <is>
          <t>5. 実施体制</t>
        </is>
      </c>
      <c r="C63" s="18" t="inlineStr">
        <is>
          <t>運用・推進体制</t>
        </is>
      </c>
      <c r="D63" s="19" t="inlineStr">
        <is>
          <t>導入後の日常的な運用体制を教えてください。
定例会議の頻度は？進捗の確認方法は？教育計画は？</t>
        </is>
      </c>
      <c r="E63" s="20" t="inlineStr">
        <is>
          <t>□ 定例会議の頻度
□ モニタリング方法
□ 報告体制
□ 教育・訓練計画
□ マニュアル整備
□ PDCAサイクルの計画</t>
        </is>
      </c>
      <c r="F63" s="105" t="inlineStr">
        <is>
          <t xml:space="preserve">・未ヒアリング（定例会議の頻度、進捗確認・報告体制、教育計画、マニュアル整備、PDCA）
・計画書に書きたい案：統括責任者の下で月次の進捗会議、導入後は創出時間の活用状況（多能工化の習熟度、遅番オペレーターの担当日数、品質管理の実施件数）をKPIとして月次で確認。フジシールの操作教育を受けた技術担当責任者が社内マニュアルを整備しパートへ展開</t>
        </is>
      </c>
      <c r="G63" s="21" t="inlineStr">
        <is>
          <t>行57</t>
        </is>
      </c>
      <c r="H63" s="107" t="inlineStr">
        <is>
          <t xml:space="preserve">要追加確認</t>
        </is>
      </c>
    </row>
    <row r="64" ht="293.0" customHeight="1">
      <c r="A64" s="22" t="n">
        <v>51</v>
      </c>
      <c r="B64" s="17" t="inlineStr">
        <is>
          <t>5. 実施体制</t>
        </is>
      </c>
      <c r="C64" s="23" t="inlineStr">
        <is>
          <t>スケジュール</t>
        </is>
      </c>
      <c r="D64" s="24" t="inlineStr">
        <is>
          <t>設備導入のスケジュールを教えてください。
発注から稼働開始までどれくらいかかりますか？
メーカーに納期は確認済みですか？</t>
        </is>
      </c>
      <c r="E64" s="20" t="inlineStr">
        <is>
          <t>□ 交付決定～発注の時期
□ 製作・開発の期間
□ 設置・据付の期間
□ 試運転・教育の期間
□ 本格稼働の時期
□ 18ヶ月以内（かつ採択発表から20ヶ月以内）に完了できるか
□ メーカーの納期確認結果（設備ごとの納期。納期の長い設備がクリティカルパス）
□ 交付申請は採択発表から2ヶ月以内であることの説明</t>
        </is>
      </c>
      <c r="F64" s="105" t="inlineStr">
        <is>
          <t xml:space="preserve">●●（スケジュール詳細＝ガントチャートは未作成）
・骨子：交付決定 2027年4〜5月見込み→交付決定後すぐ発注（2027年5月）→製作7〜9か月（メーカーの受注状況次第）→2027年12月〜2028年1月納入→現地改造工事〜調整〜生産立会 約11日→2028年1月に補助事業完了（検収・支払）→2028年2〜3月に実績報告
・決算日が3月20日のため、完了を2028年1月にして基準年度（2028年3月期）に確実に収める（3月21日以降にずれると基準年度が翌期になる）。3月まで約2か月の余裕
・18か月以内（採択発表から20か月以内）の完了：問題なし。納期の長い装置本体がクリティカルパス。交付申請は採択発表から2か月以内
・メーカーの納期確認：確認済み（7〜9か月）
・当社手配分（荷降ろし・据付・搬入経路の機器一時解体・ユーティリティ工事・試運転用資材）の段取り：未ヒアリング</t>
        </is>
      </c>
      <c r="G64" s="25" t="inlineStr">
        <is>
          <t>行58</t>
        </is>
      </c>
      <c r="H64" s="107" t="inlineStr">
        <is>
          <t xml:space="preserve">●●（詳細未作成）</t>
        </is>
      </c>
    </row>
    <row r="65" ht="111.95" customHeight="1">
      <c r="A65" s="117" t="n"/>
      <c r="B65" s="117" t="inlineStr">
        <is>
          <t>6. 米国追加関税措置の影響（該当する場合）</t>
        </is>
      </c>
      <c r="C65" s="118" t="n"/>
      <c r="D65" s="118" t="n"/>
      <c r="E65" s="118" t="n"/>
      <c r="F65" s="119" t="n"/>
      <c r="G65" s="117" t="n"/>
      <c r="H65" s="117" t="n"/>
    </row>
    <row r="66" ht="90" customHeight="1">
      <c r="A66" s="16" t="n">
        <v>52</v>
      </c>
      <c r="B66" s="17" t="inlineStr">
        <is>
          <t>6. 関税影響</t>
        </is>
      </c>
      <c r="C66" s="18" t="inlineStr">
        <is>
          <t>関税の影響</t>
        </is>
      </c>
      <c r="D66" s="19" t="inlineStr">
        <is>
          <t>米国の追加関税の影響を受けていますか？
対象品目のサプライチェーンに属していますか？
影響がある場合、具体的な数値（売上減少額、原価上昇額等）を教えてください。</t>
        </is>
      </c>
      <c r="E66" s="20" t="inlineStr">
        <is>
          <t>□ 関税措置の対象か否か
□ サプライチェーンでの位置づけ
□ 売上減少額（対前年比）
□ 原価上昇額
□ 省力化投資による相殺効果の見込み</t>
        </is>
      </c>
      <c r="F66" s="105" t="inlineStr">
        <is>
          <t xml:space="preserve">・未ヒアリング。国内向けの飲料・ゼリー飲料OEM/ODMが主体のため、米国追加関税の直接の影響は小さいと想定（該当なしで申請する前提。対象品目のサプライチェーンに属していないかを念のため確認）</t>
        </is>
      </c>
      <c r="G66" s="21" t="inlineStr">
        <is>
          <t>行59, 60, 61, 62, 63</t>
        </is>
      </c>
      <c r="H66" s="106" t="inlineStr">
        <is>
          <t xml:space="preserve">要追加確認</t>
        </is>
      </c>
    </row>
    <row r="67" ht="128.0" customHeight="1">
      <c r="A67" s="22" t="n">
        <v>53</v>
      </c>
      <c r="B67" s="17" t="inlineStr">
        <is>
          <t>6. 関税影響</t>
        </is>
      </c>
      <c r="C67" s="23" t="inlineStr">
        <is>
          <t>サプライチェーン
波及効果</t>
        </is>
      </c>
      <c r="D67" s="24" t="inlineStr">
        <is>
          <t>御社の省力化投資は、取引先（仕入先・販売先）にも良い影響がありますか？
大企業からの支援・助言はありますか？</t>
        </is>
      </c>
      <c r="E67" s="20" t="inlineStr">
        <is>
          <t>□ 上流・下流への波及効果
□ 大企業からの支援・助言
□ 地域産業クラスターへの波及
□ 振興事業計画の有無</t>
        </is>
      </c>
      <c r="F67" s="105" t="inlineStr">
        <is>
          <t xml:space="preserve">・下流への波及：イオン、森永乳業、明治、大正製薬、味の素など大手ブランドオーナーへの安定供給（人手不足でも受託を断らない体制）
・上流：パウチ包材の供給元であるフジシールと連携した自動化（包材メーカーの実績づくりにも寄与）
・大企業からの支援・助言、地域産業クラスター、振興事業計画：未ヒアリング</t>
        </is>
      </c>
      <c r="G67" s="25" t="inlineStr">
        <is>
          <t>行4, 64, 65, 66</t>
        </is>
      </c>
      <c r="H67" s="107" t="inlineStr">
        <is>
          <t xml:space="preserve">要追加確認</t>
        </is>
      </c>
    </row>
    <row r="68" ht="16.5" customHeight="1">
      <c r="A68" s="117" t="n"/>
      <c r="B68" s="117" t="inlineStr">
        <is>
          <t>7. 補足事項（加点項目・口頭審査・減点確認）</t>
        </is>
      </c>
      <c r="C68" s="118" t="n"/>
      <c r="D68" s="118" t="n"/>
      <c r="E68" s="118" t="n"/>
      <c r="F68" s="119" t="n"/>
      <c r="G68" s="117" t="n"/>
      <c r="H68" s="117" t="n"/>
    </row>
    <row r="69" ht="188.0" customHeight="1">
      <c r="A69" s="16" t="n">
        <v>54</v>
      </c>
      <c r="B69" s="17" t="inlineStr">
        <is>
          <t>7. 補足事項</t>
        </is>
      </c>
      <c r="C69" s="18" t="inlineStr">
        <is>
          <t>加点項目の確認</t>
        </is>
      </c>
      <c r="D69" s="19" t="inlineStr">
        <is>
          <t>以下の加点項目に該当するもの、これから取得できるものはありますか？
・成長加速マッチングサービス（会員登録＋挑戦課題の登録）
・BCP（事業継続力強化計画）認定
・省力化ナビ（解決策PDFのダウンロードまで）
・えるぼし、くるみん、健康経営優良法人
・事業承継・M&amp;Aの経緯（過去3年以内）
・賃上げ実績（事業場内最低賃金の引上げ額・地域別最低賃金近辺の従業員比率）
・生産性向上支援センターの支援（生産性向上取組計画書）</t>
        </is>
      </c>
      <c r="E69" s="20" t="inlineStr">
        <is>
          <t>□ 成長加速マッチングサービス（加点3）：会員登録＋「挑戦課題」の登録まで（応募締切日時点）
□ BCP認定（加点2）：受付番号（0始まり10桁）・有効期間内か。振り返り報告・複数回認定で上乗せ
□ 省力化ナビ（加点8）：解決策PDFのダウンロードまで。申請に使うGビズIDプライムと一致必須
□ えるぼし（加点6）/くるみん（加点7）/健康経営優良法人2026（加点9）
□ 事業承継・M&amp;A（加点1）：過去3年以内。承継形態別の証憑（株式譲渡契約書等）
□ 地域別最低賃金（加点4）・事業場内最低賃金63円以上引上げ（加点5）の該当確認
□ 生産性向上支援センター利用（加点10）：よろず支援拠点に相談→計画書作成→応募時提出（時間がかかるため早めに）</t>
        </is>
      </c>
      <c r="F69" s="105" t="inlineStr">
        <is>
          <t xml:space="preserve">・要確認：成長加速マッチングサービス（会員登録＋挑戦課題の登録）、BCP（事業継続力強化計画）認定、省力化ナビ（解決策PDFのダウンロード）、えるぼし・くるみん・健康経営優良法人、賃上げ関連加点
・事業承継加点：2026年6月17日付で代表取締役社長が翠田章男氏（→代表取締役会長）から翠田圭吾氏へ交代。「過去3年以内の事業承継」として加点対象になる可能性あり→要確認（登記上の交代時期、必要な証憑）
・加点を取りに行く場合は応募締切前に手続きが必要なため、早めに確認する</t>
        </is>
      </c>
      <c r="G69" s="21" t="inlineStr">
        <is>
          <t>行67</t>
        </is>
      </c>
      <c r="H69" s="106" t="inlineStr">
        <is>
          <t xml:space="preserve">要確認</t>
        </is>
      </c>
    </row>
    <row r="70" ht="154.5" customHeight="1">
      <c r="A70" s="22" t="n">
        <v>55</v>
      </c>
      <c r="B70" s="17" t="inlineStr">
        <is>
          <t>7. 補足事項</t>
        </is>
      </c>
      <c r="C70" s="23" t="inlineStr">
        <is>
          <t>口頭審査対策</t>
        </is>
      </c>
      <c r="D70" s="24" t="inlineStr">
        <is>
          <t>ソフトウェア・AI系の設備ですか？（口頭審査の可能性あり）
代表者ご自身が30分で計画を説明し、数値の質問に即答できますか？</t>
        </is>
      </c>
      <c r="E70" s="20" t="inlineStr">
        <is>
          <t>□ ソフトウェア・システム開発系か（口頭審査対象になりやすい）
□ 代表者の準備状況（計画の背景・数値根拠を即答できるか）
□ 対応できるのは事業者自身のみ（代表者・役員。社外取締役除く）
□ 同席可は役員または申請担当者欄記載の従業員1名＋通訳1名まで。支援者・コンサル同席不可
□ カメラON・写真付き身分証での本人確認・録音への対応</t>
        </is>
      </c>
      <c r="F70" s="105" t="inlineStr">
        <is>
          <t xml:space="preserve">・設備は機械装置（ロボット式自動供給装置）でソフトウェア・AI系ではないため、口頭審査の対象になる可能性は低い
・万一の場合の説明者：統括責任者 沖野常務（工場長）が計画の背景・数値（1,050分→251分、指数0.78、投資9,200万円等）を説明できるようにする
・代表者ご自身の準備状況：未ヒアリング</t>
        </is>
      </c>
      <c r="G70" s="25" t="inlineStr">
        <is>
          <t>行68</t>
        </is>
      </c>
      <c r="H70" s="107" t="inlineStr">
        <is>
          <t xml:space="preserve">記入済</t>
        </is>
      </c>
    </row>
    <row r="71" ht="233.0" customHeight="1">
      <c r="A71" s="22" t="n">
        <v>56</v>
      </c>
      <c r="B71" s="17" t="inlineStr">
        <is>
          <t>7. 補足事項</t>
        </is>
      </c>
      <c r="C71" s="23" t="inlineStr">
        <is>
          <t>リスク対応・
セキュリティ</t>
        </is>
      </c>
      <c r="D71" s="24" t="inlineStr">
        <is>
          <t>計画どおりに進まない場合のリスクを考えていますか？
（設備の納入遅延、原材料高騰、効果が出ない場合など）
また、情報セキュリティの取組（SECURITY ACTION宣言など）はありますか？</t>
        </is>
      </c>
      <c r="E71" s="20" t="inlineStr">
        <is>
          <t>□ 納入遅延リスクへの備え（進捗会議・納期の長い設備の把握）
□ 原材料高騰・需要変動への備え（複数仕入先等）
□ 効果未達時の対応策（検収条件・KPIモニタリング・撤退基準）
□ 自然災害への備え（BCP）
□ IPA「SECURITY ACTION」宣言の有無・意向（二つ星が望ましい）
□ データ管理・セキュリティ教育の体制（審査項目3-cに「サイバーセキュリティ対策の状況」が明記）</t>
        </is>
      </c>
      <c r="F71" s="105" t="inlineStr">
        <is>
          <t xml:space="preserve">・納入遅延リスク：納期7〜9か月はメーカーの受注状況次第。交付決定後すぐ発注し、フジシールと月次で進捗確認。完了予定2028年1月に対し、基準年度末（2028年3月20日）まで約2か月の余裕を確保
・見積変更リスク：値引き行の削除・名称修正を依頼中（総額は不変）。申請前に最終版を取得
・効果未達リスク：生産立会（11日）で供給能力・パレット詰め時間を検収。導入後は創出時間・遅番の派遣依存をKPIで月次確認
・原材料高騰・需要変動：価格転嫁の推進、ODM比率向上で収益性を確保（詳細未ヒアリング）
・Eライン横展開のレイアウト課題（柱）：Gラインの実績を踏まえてメーカーと再検討
・自然災害への備え（BCP）、IPA「SECURITY ACTION」宣言の有無：未ヒアリング</t>
        </is>
      </c>
      <c r="G71" s="25" t="inlineStr">
        <is>
          <t>行69</t>
        </is>
      </c>
      <c r="H71" s="106" t="inlineStr">
        <is>
          <t xml:space="preserve">要追加確認</t>
        </is>
      </c>
    </row>
    <row r="72" ht="158.0" customHeight="1">
      <c r="A72" s="16" t="n">
        <v>57</v>
      </c>
      <c r="B72" s="17" t="inlineStr">
        <is>
          <t>7. 補足事項</t>
        </is>
      </c>
      <c r="C72" s="18" t="inlineStr">
        <is>
          <t>減点項目の確認</t>
        </is>
      </c>
      <c r="D72" s="19" t="inlineStr">
        <is>
          <t>過去に中小企業庁の補助金で「賃上げ加点」を受けたのに未達だったことはありますか？
他の補助金と重複していませんか？</t>
        </is>
      </c>
      <c r="E72" s="20" t="inlineStr">
        <is>
          <t>□ 過去の補助金での賃上げ加点未達の有無
□ 他補助金との重複確認
□ 事業承継の経緯
□ 過去5年以内に補助事業関連の法令違反がないか（第7回から確認範囲が拡大）
□ 経産省・中小機構所管の補助金・給付金での不正がないか（第7回から対象外要件に追加）</t>
        </is>
      </c>
      <c r="F72" s="105" t="inlineStr">
        <is>
          <t xml:space="preserve">・過去の補助金での賃上げ加点未達：該当なしの前提（要確認）
・他補助金との重複：なし
・事業承継の経緯：2026年6月17日付で代表取締役社長が翠田章男氏から翠田圭吾氏へ交代（前社長は代表取締役会長）。創業130周年の節目での新体制移行
・過去5年以内の補助事業関連の法令違反、経産省・中小機構所管の補助金・給付金での不正：該当なしの前提</t>
        </is>
      </c>
      <c r="G72" s="21" t="inlineStr">
        <is>
          <t>行70</t>
        </is>
      </c>
      <c r="H72" s="106" t="inlineStr">
        <is>
          <t xml:space="preserve">記入済</t>
        </is>
      </c>
    </row>
  </sheetData>
  <mergeCells count="14">
    <mergeCell ref="B65:F65"/>
    <mergeCell ref="B68:F68"/>
    <mergeCell ref="B43:F43"/>
    <mergeCell ref="B29:F29"/>
    <mergeCell ref="B39:F39"/>
    <mergeCell ref="B55:F55"/>
    <mergeCell ref="B2:F2"/>
    <mergeCell ref="B34:F34"/>
    <mergeCell ref="B25:F25"/>
    <mergeCell ref="B60:F60"/>
    <mergeCell ref="B22:F22"/>
    <mergeCell ref="B14:F14"/>
    <mergeCell ref="B50:F50"/>
    <mergeCell ref="B8:F8"/>
  </mergeCells>
  <pageMargins left="0.3" right="0.3" top="0.3" bottom="0.3" header="0.5" footer="0.5"/>
  <pageSetup orientation="landscape" paperSize="8" fitToHeight="0"/>
</worksheet>
</file>

<file path=xl/worksheets/sheet3.xml><?xml version="1.0" encoding="utf-8"?>
<worksheet xmlns="http://schemas.openxmlformats.org/spreadsheetml/2006/main">
  <sheetPr>
    <outlinePr summaryBelow="1" summaryRight="1"/>
    <pageSetUpPr/>
  </sheetPr>
  <dimension ref="A1:S57"/>
  <sheetViews>
    <sheetView tabSelected="1" topLeftCell="A4" zoomScaleNormal="100" workbookViewId="0">
      <selection activeCell="L27" sqref="L27"/>
    </sheetView>
  </sheetViews>
  <sheetFormatPr baseColWidth="8" defaultColWidth="8.7265625" defaultRowHeight="13"/>
  <cols>
    <col width="1.125" customWidth="1" style="30" min="1" max="1"/>
    <col width="3.875" customWidth="1" style="30" min="2" max="2"/>
    <col width="25.125" customWidth="1" style="30" min="3" max="3"/>
    <col width="21.25" customWidth="1" style="30" min="4" max="4"/>
    <col hidden="1" width="16.5" customWidth="1" style="30" min="5" max="5"/>
    <col hidden="1" width="18.125" customWidth="1" style="30" min="6" max="6"/>
    <col width="10.375" customWidth="1" style="30" min="7" max="7"/>
    <col width="3.875" customWidth="1" style="30" min="8" max="8"/>
    <col width="25.125" customWidth="1" style="30" min="9" max="9"/>
    <col width="14.25" bestFit="1" customWidth="1" style="30" min="10" max="10"/>
    <col width="19.5" customWidth="1" style="30" min="11" max="12"/>
    <col width="12" customWidth="1" style="30" min="13" max="13"/>
    <col hidden="1" width="18.125" customWidth="1" style="30" min="14" max="14"/>
    <col hidden="1" width="3.25" customWidth="1" style="30" min="15" max="15"/>
    <col hidden="1" width="21.875" customWidth="1" style="30" min="16" max="16"/>
    <col width="8.75" customWidth="1" style="30" min="17" max="17"/>
    <col width="8.75" customWidth="1" style="30" min="18" max="16384"/>
  </cols>
  <sheetData>
    <row r="1">
      <c r="A1" s="26" t="n"/>
      <c r="B1" s="27" t="inlineStr">
        <is>
          <t>（別紙１）省力化計算シート</t>
        </is>
      </c>
      <c r="C1" s="27" t="n"/>
      <c r="D1" s="27" t="n"/>
      <c r="E1" s="27" t="n"/>
      <c r="F1" s="27" t="n"/>
      <c r="G1" s="27" t="n"/>
      <c r="H1" s="27" t="n"/>
      <c r="I1" s="27" t="n"/>
      <c r="J1" s="27" t="n"/>
      <c r="K1" s="27" t="n"/>
      <c r="L1" s="27" t="n"/>
      <c r="M1" s="27" t="n"/>
    </row>
    <row r="2" ht="13.5" customHeight="1" thickBot="1">
      <c r="D2" s="124" t="n"/>
      <c r="E2" s="124" t="n"/>
      <c r="F2" s="124" t="n"/>
      <c r="J2" s="124" t="n"/>
      <c r="N2" s="124" t="n"/>
      <c r="O2" s="124" t="n"/>
    </row>
    <row r="3" ht="24.6" customHeight="1" thickBot="1">
      <c r="B3" s="30" t="n"/>
      <c r="C3" s="125" t="inlineStr">
        <is>
          <t>設備導入により削減される
業務に要していた時間</t>
        </is>
      </c>
      <c r="D3" s="126">
        <f>(SUMIF(C11:C40,"&lt;&gt;",D11:D40)-SUMIF(E11:E40,"&lt;&gt;-",D11:D40)-SUMIF(F11:F40,"&lt;0"))/60</f>
        <v/>
      </c>
      <c r="E3" s="127" t="n"/>
      <c r="F3" s="127" t="n"/>
      <c r="G3" s="121" t="inlineStr">
        <is>
          <t>時間</t>
        </is>
      </c>
      <c r="H3" s="30" t="n"/>
      <c r="I3" s="125" t="inlineStr">
        <is>
          <t>設備導入後に発生する
業務に要する時間</t>
        </is>
      </c>
      <c r="J3" s="128">
        <f>(SUMIF(I11:I40,"&lt;&gt;",J11:J40)-SUMIF(N11:N40,"&lt;&gt;-",J11:J40)+SUMIF(N11:N40,"&gt;0"))/60</f>
        <v/>
      </c>
      <c r="K3" s="121" t="inlineStr">
        <is>
          <t>時間</t>
        </is>
      </c>
      <c r="L3" s="35" t="inlineStr">
        <is>
          <t>省力化指数</t>
        </is>
      </c>
      <c r="M3" s="129">
        <f>IF(D3=0,0,IF((D3-J3)/D3&lt;0,0,(D3-J3)/D3))</f>
        <v/>
      </c>
      <c r="N3" s="37" t="n"/>
      <c r="O3" s="37" t="n"/>
    </row>
    <row r="4"/>
    <row r="5">
      <c r="B5" s="38" t="inlineStr">
        <is>
          <t>■設備導入前の業務プロセス・作業工程</t>
        </is>
      </c>
      <c r="C5" s="39" t="n"/>
      <c r="D5" s="39" t="n"/>
      <c r="G5" s="40" t="n"/>
      <c r="H5" s="41" t="inlineStr">
        <is>
          <t>■設備導入後の業務プロセス・作業工程</t>
        </is>
      </c>
      <c r="I5" s="42" t="n"/>
      <c r="J5" s="42" t="n"/>
      <c r="K5" s="42" t="n"/>
      <c r="L5" s="42" t="n"/>
      <c r="M5" s="42" t="n"/>
      <c r="N5" s="37" t="n"/>
      <c r="O5" s="37" t="n"/>
    </row>
    <row r="6">
      <c r="B6" s="43" t="n"/>
      <c r="D6" s="44" t="n"/>
      <c r="E6" s="44" t="n"/>
      <c r="F6" s="44" t="n"/>
      <c r="H6" s="43" t="n"/>
      <c r="J6" s="45" t="n"/>
    </row>
    <row r="7">
      <c r="B7" s="46" t="n"/>
      <c r="C7" s="47" t="inlineStr">
        <is>
          <t>設備導入前の作業時間合計</t>
        </is>
      </c>
      <c r="D7" s="130">
        <f>SUMIF(C11:C40,"&lt;&gt;",D11:D40)/60</f>
        <v/>
      </c>
      <c r="E7" s="131" t="n"/>
      <c r="F7" s="131" t="n"/>
      <c r="G7" s="43" t="inlineStr">
        <is>
          <t>時間</t>
        </is>
      </c>
      <c r="I7" s="50" t="inlineStr">
        <is>
          <t>設備導入後の作業時間合計</t>
        </is>
      </c>
      <c r="J7" s="130">
        <f>SUMIF(I11:I40,"&lt;&gt;",J11:J40)/60</f>
        <v/>
      </c>
      <c r="K7" s="121" t="inlineStr">
        <is>
          <t>時間</t>
        </is>
      </c>
      <c r="L7" s="131" t="n"/>
    </row>
    <row r="8">
      <c r="B8" s="46" t="n"/>
      <c r="C8" s="50" t="n"/>
      <c r="D8" s="132" t="n"/>
      <c r="E8" s="131" t="n"/>
      <c r="F8" s="131" t="n"/>
      <c r="G8" s="43" t="n"/>
      <c r="I8" s="50" t="n"/>
      <c r="J8" s="132" t="n"/>
      <c r="L8" s="131" t="n"/>
    </row>
    <row r="9">
      <c r="C9" s="43" t="n"/>
      <c r="D9" s="52" t="n"/>
      <c r="E9" s="53" t="n"/>
      <c r="F9" s="53" t="n"/>
      <c r="G9" s="53" t="n"/>
      <c r="H9" s="53" t="n"/>
      <c r="I9" s="53" t="n"/>
      <c r="J9" s="54" t="n"/>
      <c r="K9" s="55" t="n"/>
      <c r="L9" s="55" t="n"/>
    </row>
    <row r="10" ht="24.6" customHeight="1" thickBot="1">
      <c r="B10" s="56" t="inlineStr">
        <is>
          <t>No.</t>
        </is>
      </c>
      <c r="C10" s="57" t="inlineStr">
        <is>
          <t>工程名・作業名</t>
        </is>
      </c>
      <c r="D10" s="58" t="inlineStr">
        <is>
          <t>作業時間（分）</t>
        </is>
      </c>
      <c r="E10" s="59" t="inlineStr">
        <is>
          <t>対応する導入後の
業務プロセスNo</t>
        </is>
      </c>
      <c r="F10" s="60" t="inlineStr">
        <is>
          <t>同工程差分時間（分）</t>
        </is>
      </c>
      <c r="H10" s="61" t="inlineStr">
        <is>
          <t>No.</t>
        </is>
      </c>
      <c r="I10" s="62" t="inlineStr">
        <is>
          <t>工程名・作業名</t>
        </is>
      </c>
      <c r="J10" s="63" t="inlineStr">
        <is>
          <t>作業時間（分）</t>
        </is>
      </c>
      <c r="K10" s="64" t="inlineStr">
        <is>
          <t>作業種別</t>
        </is>
      </c>
      <c r="L10" s="65" t="inlineStr">
        <is>
          <t>対応する設備導入前の
業務プロセスNo.</t>
        </is>
      </c>
      <c r="N10" s="66" t="inlineStr">
        <is>
          <t>同工程差分時間（分）</t>
        </is>
      </c>
      <c r="P10" s="66" t="inlineStr">
        <is>
          <t>作業種別選択肢</t>
        </is>
      </c>
    </row>
    <row r="11">
      <c r="B11" s="67" t="n">
        <v>1</v>
      </c>
      <c r="C11" s="68" t="inlineStr">
        <is>
          <t xml:space="preserve">空パウチの搬入</t>
        </is>
      </c>
      <c r="D11" s="69" t="n">
        <v>20</v>
      </c>
      <c r="E11" s="70">
        <f>IF(OR(C11="",D11=""),"-",IF(IFERROR(MATCH(B11,L$11:L$40,0),"")="","-",IF(OR(INDEX(I$11:I$40,MATCH(B11,L$11:L$40,0))="",INDEX(J$11:J$40,MATCH(B11,L$11:L$40,0))="",INDEX(K$11:K$40,MATCH(B11,L$11:L$40,0))&lt;&gt;"内容は変化しない作業"),"-",MATCH(B11,L$11:L$40,0))))</f>
        <v/>
      </c>
      <c r="F11" s="71">
        <f t="array" ref="F11">IF(E11="-","-",IF(AND(C11&lt;&gt;"",D11&gt;0,INDEX(K$11:K$40,E11)="内容は変化しない作業",AND(E11&lt;&gt;"-",E11&lt;&gt;""),INDEX(I$11:I$40,E11)&lt;&gt;"",INDEX(J$11:J$40,E11)&lt;&gt;""),INDEX(J$11:J$40,E11)-D11,"-"))</f>
        <v/>
      </c>
      <c r="G11" s="72" t="n"/>
      <c r="H11" s="73" t="n">
        <v>1</v>
      </c>
      <c r="I11" s="74" t="inlineStr">
        <is>
          <t xml:space="preserve">空パウチの搬入</t>
        </is>
      </c>
      <c r="J11" s="75" t="n">
        <v>20</v>
      </c>
      <c r="K11" s="76" t="inlineStr">
        <is>
          <t xml:space="preserve">内容は変化しない作業</t>
        </is>
      </c>
      <c r="L11" s="77" t="n">
        <v>1</v>
      </c>
      <c r="N11" s="78">
        <f t="array" ref="N11">IF(AND(I11&lt;&gt;"",J11&gt;0,K11="内容は変化しない作業",L11&gt;0,INDEX(C$11:C$40,L11)&lt;&gt;"",INDEX(D$11:D$40,L11)&lt;&gt;""),J11-INDEX(D$11:D$40,L11),"-")</f>
        <v/>
      </c>
      <c r="O11" s="30" t="n"/>
      <c r="P11" s="79" t="inlineStr">
        <is>
          <t>新たに追加される作業</t>
        </is>
      </c>
    </row>
    <row r="12">
      <c r="B12" s="80" t="n">
        <v>2</v>
      </c>
      <c r="C12" s="81" t="inlineStr">
        <is>
          <t xml:space="preserve">段ボールの開梱・束の取り出し</t>
        </is>
      </c>
      <c r="D12" s="82" t="n">
        <v>43</v>
      </c>
      <c r="E12" s="70">
        <f>IF(OR(C12="",D12=""),"-",IF(IFERROR(MATCH(B12,L$11:L$40,0),"")="","-",IF(OR(INDEX(I$11:I$40,MATCH(B12,L$11:L$40,0))="",INDEX(J$11:J$40,MATCH(B12,L$11:L$40,0))="",INDEX(K$11:K$40,MATCH(B12,L$11:L$40,0))&lt;&gt;"内容は変化しない作業"),"-",MATCH(B12,L$11:L$40,0))))</f>
        <v/>
      </c>
      <c r="F12" s="71">
        <f t="array" ref="F12">IF(E12="-","-",IF(AND(C12&lt;&gt;"",D12&gt;0,INDEX(K$11:K$40,E12)="内容は変化しない作業",AND(E12&lt;&gt;"-",E12&lt;&gt;""),INDEX(I$11:I$40,E12)&lt;&gt;"",INDEX(J$11:J$40,E12)&lt;&gt;""),INDEX(J$11:J$40,E12)-D12,"-"))</f>
        <v/>
      </c>
      <c r="H12" s="83" t="n">
        <v>2</v>
      </c>
      <c r="I12" s="84" t="inlineStr">
        <is>
          <t xml:space="preserve">専用パレットへの詰め</t>
        </is>
      </c>
      <c r="J12" s="85" t="n">
        <v>209</v>
      </c>
      <c r="K12" s="86" t="inlineStr">
        <is>
          <t xml:space="preserve">新たに追加される作業</t>
        </is>
      </c>
      <c r="L12" s="87" t="n"/>
      <c r="N12" s="78">
        <f t="array" ref="N12">IF(AND(I12&lt;&gt;"",J12&gt;0,K12="内容は変化しない作業",L12&gt;0,INDEX(C$11:C$40,L12)&lt;&gt;"",INDEX(D$11:D$40,L12)&lt;&gt;""),J12-INDEX(D$11:D$40,L12),"-")</f>
        <v/>
      </c>
      <c r="O12" s="30" t="n"/>
      <c r="P12" s="79" t="inlineStr">
        <is>
          <t>内容は変化しない作業</t>
        </is>
      </c>
    </row>
    <row r="13">
      <c r="B13" s="67" t="n">
        <v>3</v>
      </c>
      <c r="C13" s="81" t="inlineStr">
        <is>
          <t xml:space="preserve">空段ボールの片付け</t>
        </is>
      </c>
      <c r="D13" s="82" t="n">
        <v>22</v>
      </c>
      <c r="E13" s="70">
        <f>IF(OR(C13="",D13=""),"-",IF(IFERROR(MATCH(B13,L$11:L$40,0),"")="","-",IF(OR(INDEX(I$11:I$40,MATCH(B13,L$11:L$40,0))="",INDEX(J$11:J$40,MATCH(B13,L$11:L$40,0))="",INDEX(K$11:K$40,MATCH(B13,L$11:L$40,0))&lt;&gt;"内容は変化しない作業"),"-",MATCH(B13,L$11:L$40,0))))</f>
        <v/>
      </c>
      <c r="F13" s="71">
        <f t="array" ref="F13">IF(E13="-","-",IF(AND(C13&lt;&gt;"",D13&gt;0,INDEX(K$11:K$40,E13)="内容は変化しない作業",AND(E13&lt;&gt;"-",E13&lt;&gt;""),INDEX(I$11:I$40,E13)&lt;&gt;"",INDEX(J$11:J$40,E13)&lt;&gt;""),INDEX(J$11:J$40,E13)-D13,"-"))</f>
        <v/>
      </c>
      <c r="H13" s="88" t="n">
        <v>3</v>
      </c>
      <c r="I13" s="89" t="inlineStr">
        <is>
          <t xml:space="preserve">パレットの装填・入替</t>
        </is>
      </c>
      <c r="J13" s="90" t="n">
        <v>15</v>
      </c>
      <c r="K13" s="91" t="inlineStr">
        <is>
          <t xml:space="preserve">新たに追加される作業</t>
        </is>
      </c>
      <c r="L13" s="92" t="n"/>
      <c r="N13" s="78">
        <f t="array" ref="N13">IF(AND(I13&lt;&gt;"",J13&gt;0,K13="内容は変化しない作業",L13&gt;0,INDEX(C$11:C$40,L13)&lt;&gt;"",INDEX(D$11:D$40,L13)&lt;&gt;""),J13-INDEX(D$11:D$40,L13),"-")</f>
        <v/>
      </c>
      <c r="O13" s="30" t="n"/>
      <c r="P13" s="79" t="n"/>
    </row>
    <row r="14">
      <c r="B14" s="67" t="n">
        <v>4</v>
      </c>
      <c r="C14" s="81" t="inlineStr">
        <is>
          <t xml:space="preserve">パウチのほぐし</t>
        </is>
      </c>
      <c r="D14" s="82" t="n">
        <v>563</v>
      </c>
      <c r="E14" s="70">
        <f>IF(OR(C14="",D14=""),"-",IF(IFERROR(MATCH(B14,L$11:L$40,0),"")="","-",IF(OR(INDEX(I$11:I$40,MATCH(B14,L$11:L$40,0))="",INDEX(J$11:J$40,MATCH(B14,L$11:L$40,0))="",INDEX(K$11:K$40,MATCH(B14,L$11:L$40,0))&lt;&gt;"内容は変化しない作業"),"-",MATCH(B14,L$11:L$40,0))))</f>
        <v/>
      </c>
      <c r="F14" s="71">
        <f t="array" ref="F14">IF(E14="-","-",IF(AND(C14&lt;&gt;"",D14&gt;0,INDEX(K$11:K$40,E14)="内容は変化しない作業",AND(E14&lt;&gt;"-",E14&lt;&gt;""),INDEX(I$11:I$40,E14)&lt;&gt;"",INDEX(J$11:J$40,E14)&lt;&gt;""),INDEX(J$11:J$40,E14)-D14,"-"))</f>
        <v/>
      </c>
      <c r="H14" s="88" t="n">
        <v>4</v>
      </c>
      <c r="I14" s="89" t="inlineStr">
        <is>
          <t xml:space="preserve">専用パレットの型替え</t>
        </is>
      </c>
      <c r="J14" s="90" t="n">
        <v>7</v>
      </c>
      <c r="K14" s="91" t="inlineStr">
        <is>
          <t xml:space="preserve">新たに追加される作業</t>
        </is>
      </c>
      <c r="L14" s="87" t="n"/>
      <c r="N14" s="78">
        <f t="array" ref="N14">IF(AND(I14&lt;&gt;"",J14&gt;0,K14="内容は変化しない作業",L14&gt;0,INDEX(C$11:C$40,L14)&lt;&gt;"",INDEX(D$11:D$40,L14)&lt;&gt;""),J14-INDEX(D$11:D$40,L14),"-")</f>
        <v/>
      </c>
      <c r="O14" s="30" t="n"/>
    </row>
    <row r="15">
      <c r="B15" s="67" t="n">
        <v>5</v>
      </c>
      <c r="C15" s="81" t="inlineStr">
        <is>
          <t xml:space="preserve">踏み台の昇降・マガジン残量確認</t>
        </is>
      </c>
      <c r="D15" s="82" t="n">
        <v>79</v>
      </c>
      <c r="E15" s="70">
        <f>IF(OR(C15="",D15=""),"-",IF(IFERROR(MATCH(B15,L$11:L$40,0),"")="","-",IF(OR(INDEX(I$11:I$40,MATCH(B15,L$11:L$40,0))="",INDEX(J$11:J$40,MATCH(B15,L$11:L$40,0))="",INDEX(K$11:K$40,MATCH(B15,L$11:L$40,0))&lt;&gt;"内容は変化しない作業"),"-",MATCH(B15,L$11:L$40,0))))</f>
        <v/>
      </c>
      <c r="F15" s="71">
        <f t="array" ref="F15">IF(E15="-","-",IF(AND(C15&lt;&gt;"",D15&gt;0,INDEX(K$11:K$40,E15)="内容は変化しない作業",AND(E15&lt;&gt;"-",E15&lt;&gt;""),INDEX(I$11:I$40,E15)&lt;&gt;"",INDEX(J$11:J$40,E15)&lt;&gt;""),INDEX(J$11:J$40,E15)-D15,"-"))</f>
        <v/>
      </c>
      <c r="H15" s="83" t="n">
        <v>5</v>
      </c>
      <c r="I15" s="84" t="inlineStr">
        <is>
          <t xml:space="preserve">製袋機の運転・監視</t>
        </is>
      </c>
      <c r="J15" s="85" t="n">
        <v>1050</v>
      </c>
      <c r="K15" s="91" t="inlineStr">
        <is>
          <t xml:space="preserve">内容は変化しない作業</t>
        </is>
      </c>
      <c r="L15" s="87" t="n">
        <v>8</v>
      </c>
      <c r="N15" s="78">
        <f t="array" ref="N15">IF(AND(I15&lt;&gt;"",J15&gt;0,K15="内容は変化しない作業",L15&gt;0,INDEX(C$11:C$40,L15)&lt;&gt;"",INDEX(D$11:D$40,L15)&lt;&gt;""),J15-INDEX(D$11:D$40,L15),"-")</f>
        <v/>
      </c>
      <c r="O15" s="30" t="n"/>
    </row>
    <row r="16">
      <c r="B16" s="83" t="n">
        <v>6</v>
      </c>
      <c r="C16" s="93" t="inlineStr">
        <is>
          <t xml:space="preserve">マガジンへの束の手投入</t>
        </is>
      </c>
      <c r="D16" s="94" t="n">
        <v>315</v>
      </c>
      <c r="E16" s="70">
        <f>IF(OR(C16="",D16=""),"-",IF(IFERROR(MATCH(B16,L$11:L$40,0),"")="","-",IF(OR(INDEX(I$11:I$40,MATCH(B16,L$11:L$40,0))="",INDEX(J$11:J$40,MATCH(B16,L$11:L$40,0))="",INDEX(K$11:K$40,MATCH(B16,L$11:L$40,0))&lt;&gt;"内容は変化しない作業"),"-",MATCH(B16,L$11:L$40,0))))</f>
        <v/>
      </c>
      <c r="F16" s="71">
        <f t="array" ref="F16">IF(E16="-","-",IF(AND(C16&lt;&gt;"",D16&gt;0,INDEX(K$11:K$40,E16)="内容は変化しない作業",AND(E16&lt;&gt;"-",E16&lt;&gt;""),INDEX(I$11:I$40,E16)&lt;&gt;"",INDEX(J$11:J$40,E16)&lt;&gt;""),INDEX(J$11:J$40,E16)-D16,"-"))</f>
        <v/>
      </c>
      <c r="H16" s="88" t="n">
        <v>6</v>
      </c>
      <c r="I16" s="89" t="inlineStr">
        <is>
          <t xml:space="preserve">充填（充填室）</t>
        </is>
      </c>
      <c r="J16" s="90" t="n">
        <v>1050</v>
      </c>
      <c r="K16" s="91" t="inlineStr">
        <is>
          <t xml:space="preserve">内容は変化しない作業</t>
        </is>
      </c>
      <c r="L16" s="87" t="n">
        <v>9</v>
      </c>
      <c r="N16" s="78">
        <f t="array" ref="N16">IF(AND(I16&lt;&gt;"",J16&gt;0,K16="内容は変化しない作業",L16&gt;0,INDEX(C$11:C$40,L16)&lt;&gt;"",INDEX(D$11:D$40,L16)&lt;&gt;""),J16-INDEX(D$11:D$40,L16),"-")</f>
        <v/>
      </c>
      <c r="O16" s="30" t="n"/>
    </row>
    <row r="17">
      <c r="B17" s="67" t="n">
        <v>7</v>
      </c>
      <c r="C17" s="81" t="inlineStr">
        <is>
          <t xml:space="preserve">品種切替時のパウチ切替</t>
        </is>
      </c>
      <c r="D17" s="82" t="n">
        <v>8</v>
      </c>
      <c r="E17" s="70">
        <f>IF(OR(C17="",D17=""),"-",IF(IFERROR(MATCH(B17,L$11:L$40,0),"")="","-",IF(OR(INDEX(I$11:I$40,MATCH(B17,L$11:L$40,0))="",INDEX(J$11:J$40,MATCH(B17,L$11:L$40,0))="",INDEX(K$11:K$40,MATCH(B17,L$11:L$40,0))&lt;&gt;"内容は変化しない作業"),"-",MATCH(B17,L$11:L$40,0))))</f>
        <v/>
      </c>
      <c r="F17" s="71">
        <f t="array" ref="F17">IF(E17="-","-",IF(AND(C17&lt;&gt;"",D17&gt;0,INDEX(K$11:K$40,E17)="内容は変化しない作業",AND(E17&lt;&gt;"-",E17&lt;&gt;""),INDEX(I$11:I$40,E17)&lt;&gt;"",INDEX(J$11:J$40,E17)&lt;&gt;""),INDEX(J$11:J$40,E17)-D17,"-"))</f>
        <v/>
      </c>
      <c r="H17" s="88" t="n">
        <v>7</v>
      </c>
      <c r="I17" s="89" t="inlineStr">
        <is>
          <t xml:space="preserve">包装・箱詰め</t>
        </is>
      </c>
      <c r="J17" s="90" t="n">
        <v>2625</v>
      </c>
      <c r="K17" s="91" t="inlineStr">
        <is>
          <t xml:space="preserve">内容は変化しない作業</t>
        </is>
      </c>
      <c r="L17" s="87" t="n">
        <v>10</v>
      </c>
      <c r="N17" s="78">
        <f t="array" ref="N17">IF(AND(I17&lt;&gt;"",J17&gt;0,K17="内容は変化しない作業",L17&gt;0,INDEX(C$11:C$40,L17)&lt;&gt;"",INDEX(D$11:D$40,L17)&lt;&gt;""),J17-INDEX(D$11:D$40,L17),"-")</f>
        <v/>
      </c>
      <c r="O17" s="30" t="n"/>
    </row>
    <row r="18">
      <c r="B18" s="67" t="n">
        <v>8</v>
      </c>
      <c r="C18" s="81" t="inlineStr">
        <is>
          <t xml:space="preserve">製袋機の運転・監視</t>
        </is>
      </c>
      <c r="D18" s="82" t="n">
        <v>1050</v>
      </c>
      <c r="E18" s="70">
        <f>IF(OR(C18="",D18=""),"-",IF(IFERROR(MATCH(B18,L$11:L$40,0),"")="","-",IF(OR(INDEX(I$11:I$40,MATCH(B18,L$11:L$40,0))="",INDEX(J$11:J$40,MATCH(B18,L$11:L$40,0))="",INDEX(K$11:K$40,MATCH(B18,L$11:L$40,0))&lt;&gt;"内容は変化しない作業"),"-",MATCH(B18,L$11:L$40,0))))</f>
        <v/>
      </c>
      <c r="F18" s="71">
        <f t="array" ref="F18">IF(E18="-","-",IF(AND(C18&lt;&gt;"",D18&gt;0,INDEX(K$11:K$40,E18)="内容は変化しない作業",AND(E18&lt;&gt;"-",E18&lt;&gt;""),INDEX(I$11:I$40,E18)&lt;&gt;"",INDEX(J$11:J$40,E18)&lt;&gt;""),INDEX(J$11:J$40,E18)-D18,"-"))</f>
        <v/>
      </c>
      <c r="H18" s="88" t="n">
        <v>8</v>
      </c>
      <c r="I18" s="89" t="n"/>
      <c r="J18" s="90" t="n"/>
      <c r="K18" s="91" t="n"/>
      <c r="L18" s="87" t="n"/>
      <c r="N18" s="78">
        <f t="array" ref="N18">IF(AND(I18&lt;&gt;"",J18&gt;0,K18="内容は変化しない作業",L18&gt;0,INDEX(C$11:C$40,L18)&lt;&gt;"",INDEX(D$11:D$40,L18)&lt;&gt;""),J18-INDEX(D$11:D$40,L18),"-")</f>
        <v/>
      </c>
      <c r="O18" s="30" t="n"/>
    </row>
    <row r="19">
      <c r="B19" s="67" t="n">
        <v>9</v>
      </c>
      <c r="C19" s="81" t="inlineStr">
        <is>
          <t xml:space="preserve">充填（充填室）</t>
        </is>
      </c>
      <c r="D19" s="82" t="n">
        <v>1050</v>
      </c>
      <c r="E19" s="70">
        <f>IF(OR(C19="",D19=""),"-",IF(IFERROR(MATCH(B19,L$11:L$40,0),"")="","-",IF(OR(INDEX(I$11:I$40,MATCH(B19,L$11:L$40,0))="",INDEX(J$11:J$40,MATCH(B19,L$11:L$40,0))="",INDEX(K$11:K$40,MATCH(B19,L$11:L$40,0))&lt;&gt;"内容は変化しない作業"),"-",MATCH(B19,L$11:L$40,0))))</f>
        <v/>
      </c>
      <c r="F19" s="71">
        <f t="array" ref="F19">IF(E19="-","-",IF(AND(C19&lt;&gt;"",D19&gt;0,INDEX(K$11:K$40,E19)="内容は変化しない作業",AND(E19&lt;&gt;"-",E19&lt;&gt;""),INDEX(I$11:I$40,E19)&lt;&gt;"",INDEX(J$11:J$40,E19)&lt;&gt;""),INDEX(J$11:J$40,E19)-D19,"-"))</f>
        <v/>
      </c>
      <c r="H19" s="88" t="n">
        <v>9</v>
      </c>
      <c r="I19" s="89" t="n"/>
      <c r="J19" s="90" t="n"/>
      <c r="K19" s="91" t="n"/>
      <c r="L19" s="87" t="n"/>
      <c r="N19" s="78">
        <f t="array" ref="N19">IF(AND(I19&lt;&gt;"",J19&gt;0,K19="内容は変化しない作業",L19&gt;0,INDEX(C$11:C$40,L19)&lt;&gt;"",INDEX(D$11:D$40,L19)&lt;&gt;""),J19-INDEX(D$11:D$40,L19),"-")</f>
        <v/>
      </c>
      <c r="O19" s="30" t="n"/>
    </row>
    <row r="20">
      <c r="B20" s="67" t="n">
        <v>10</v>
      </c>
      <c r="C20" s="81" t="inlineStr">
        <is>
          <t xml:space="preserve">包装・箱詰め</t>
        </is>
      </c>
      <c r="D20" s="82" t="n">
        <v>2625</v>
      </c>
      <c r="E20" s="70">
        <f>IF(OR(C20="",D20=""),"-",IF(IFERROR(MATCH(B20,L$11:L$40,0),"")="","-",IF(OR(INDEX(I$11:I$40,MATCH(B20,L$11:L$40,0))="",INDEX(J$11:J$40,MATCH(B20,L$11:L$40,0))="",INDEX(K$11:K$40,MATCH(B20,L$11:L$40,0))&lt;&gt;"内容は変化しない作業"),"-",MATCH(B20,L$11:L$40,0))))</f>
        <v/>
      </c>
      <c r="F20" s="71">
        <f t="array" ref="F20">IF(E20="-","-",IF(AND(C20&lt;&gt;"",D20&gt;0,INDEX(K$11:K$40,E20)="内容は変化しない作業",AND(E20&lt;&gt;"-",E20&lt;&gt;""),INDEX(I$11:I$40,E20)&lt;&gt;"",INDEX(J$11:J$40,E20)&lt;&gt;""),INDEX(J$11:J$40,E20)-D20,"-"))</f>
        <v/>
      </c>
      <c r="H20" s="88" t="n">
        <v>10</v>
      </c>
      <c r="I20" s="89" t="n"/>
      <c r="J20" s="90" t="n"/>
      <c r="K20" s="91" t="n"/>
      <c r="L20" s="87" t="n"/>
      <c r="N20" s="78">
        <f t="array" ref="N20">IF(AND(I20&lt;&gt;"",J20&gt;0,K20="内容は変化しない作業",L20&gt;0,INDEX(C$11:C$40,L20)&lt;&gt;"",INDEX(D$11:D$40,L20)&lt;&gt;""),J20-INDEX(D$11:D$40,L20),"-")</f>
        <v/>
      </c>
      <c r="O20" s="30" t="n"/>
    </row>
    <row r="21">
      <c r="B21" s="67" t="n">
        <v>11</v>
      </c>
      <c r="C21" s="81" t="n"/>
      <c r="D21" s="82" t="n"/>
      <c r="E21" s="70">
        <f>IF(OR(C21="",D21=""),"-",IF(IFERROR(MATCH(B21,L$11:L$40,0),"")="","-",IF(OR(INDEX(I$11:I$40,MATCH(B21,L$11:L$40,0))="",INDEX(J$11:J$40,MATCH(B21,L$11:L$40,0))="",INDEX(K$11:K$40,MATCH(B21,L$11:L$40,0))&lt;&gt;"内容は変化しない作業"),"-",MATCH(B21,L$11:L$40,0))))</f>
        <v/>
      </c>
      <c r="F21" s="71">
        <f t="array" ref="F21">IF(E21="-","-",IF(AND(C21&lt;&gt;"",D21&gt;0,INDEX(K$11:K$40,E21)="内容は変化しない作業",AND(E21&lt;&gt;"-",E21&lt;&gt;""),INDEX(I$11:I$40,E21)&lt;&gt;"",INDEX(J$11:J$40,E21)&lt;&gt;""),INDEX(J$11:J$40,E21)-D21,"-"))</f>
        <v/>
      </c>
      <c r="H21" s="88" t="n">
        <v>11</v>
      </c>
      <c r="I21" s="89" t="n"/>
      <c r="J21" s="90" t="n"/>
      <c r="K21" s="91" t="n"/>
      <c r="L21" s="87" t="n"/>
      <c r="N21" s="78">
        <f t="array" ref="N21">IF(AND(I21&lt;&gt;"",J21&gt;0,K21="内容は変化しない作業",L21&gt;0,INDEX(C$11:C$40,L21)&lt;&gt;"",INDEX(D$11:D$40,L21)&lt;&gt;""),J21-INDEX(D$11:D$40,L21),"-")</f>
        <v/>
      </c>
      <c r="O21" s="30" t="n"/>
    </row>
    <row r="22">
      <c r="B22" s="88" t="n">
        <v>12</v>
      </c>
      <c r="C22" s="95" t="n"/>
      <c r="D22" s="96" t="n"/>
      <c r="E22" s="70">
        <f>IF(OR(C22="",D22=""),"-",IF(IFERROR(MATCH(B22,L$11:L$40,0),"")="","-",IF(OR(INDEX(I$11:I$40,MATCH(B22,L$11:L$40,0))="",INDEX(J$11:J$40,MATCH(B22,L$11:L$40,0))="",INDEX(K$11:K$40,MATCH(B22,L$11:L$40,0))&lt;&gt;"内容は変化しない作業"),"-",MATCH(B22,L$11:L$40,0))))</f>
        <v/>
      </c>
      <c r="F22" s="71">
        <f t="array" ref="F22">IF(E22="-","-",IF(AND(C22&lt;&gt;"",D22&gt;0,INDEX(K$11:K$40,E22)="内容は変化しない作業",AND(E22&lt;&gt;"-",E22&lt;&gt;""),INDEX(I$11:I$40,E22)&lt;&gt;"",INDEX(J$11:J$40,E22)&lt;&gt;""),INDEX(J$11:J$40,E22)-D22,"-"))</f>
        <v/>
      </c>
      <c r="H22" s="88" t="n">
        <v>12</v>
      </c>
      <c r="I22" s="89" t="n"/>
      <c r="J22" s="90" t="n"/>
      <c r="K22" s="91" t="n"/>
      <c r="L22" s="87" t="n"/>
      <c r="N22" s="78">
        <f t="array" ref="N22">IF(AND(I22&lt;&gt;"",J22&gt;0,K22="内容は変化しない作業",L22&gt;0,INDEX(C$11:C$40,L22)&lt;&gt;"",INDEX(D$11:D$40,L22)&lt;&gt;""),J22-INDEX(D$11:D$40,L22),"-")</f>
        <v/>
      </c>
      <c r="O22" s="30" t="n"/>
    </row>
    <row r="23">
      <c r="B23" s="88" t="n">
        <v>13</v>
      </c>
      <c r="C23" s="95" t="n"/>
      <c r="D23" s="96" t="n"/>
      <c r="E23" s="70">
        <f>IF(OR(C23="",D23=""),"-",IF(IFERROR(MATCH(B23,L$11:L$40,0),"")="","-",IF(OR(INDEX(I$11:I$40,MATCH(B23,L$11:L$40,0))="",INDEX(J$11:J$40,MATCH(B23,L$11:L$40,0))="",INDEX(K$11:K$40,MATCH(B23,L$11:L$40,0))&lt;&gt;"内容は変化しない作業"),"-",MATCH(B23,L$11:L$40,0))))</f>
        <v/>
      </c>
      <c r="F23" s="71">
        <f t="array" ref="F23">IF(E23="-","-",IF(AND(C23&lt;&gt;"",D23&gt;0,INDEX(K$11:K$40,E23)="内容は変化しない作業",AND(E23&lt;&gt;"-",E23&lt;&gt;""),INDEX(I$11:I$40,E23)&lt;&gt;"",INDEX(J$11:J$40,E23)&lt;&gt;""),INDEX(J$11:J$40,E23)-D23,"-"))</f>
        <v/>
      </c>
      <c r="H23" s="88" t="n">
        <v>13</v>
      </c>
      <c r="I23" s="89" t="n"/>
      <c r="J23" s="90" t="n"/>
      <c r="K23" s="91" t="n"/>
      <c r="L23" s="87" t="n"/>
      <c r="N23" s="78">
        <f t="array" ref="N23">IF(AND(I23&lt;&gt;"",J23&gt;0,K23="内容は変化しない作業",L23&gt;0,INDEX(C$11:C$40,L23)&lt;&gt;"",INDEX(D$11:D$40,L23)&lt;&gt;""),J23-INDEX(D$11:D$40,L23),"-")</f>
        <v/>
      </c>
      <c r="O23" s="30" t="n"/>
    </row>
    <row r="24">
      <c r="B24" s="88" t="n">
        <v>14</v>
      </c>
      <c r="C24" s="95" t="n"/>
      <c r="D24" s="96" t="n"/>
      <c r="E24" s="70">
        <f>IF(OR(C24="",D24=""),"-",IF(IFERROR(MATCH(B24,L$11:L$40,0),"")="","-",IF(OR(INDEX(I$11:I$40,MATCH(B24,L$11:L$40,0))="",INDEX(J$11:J$40,MATCH(B24,L$11:L$40,0))="",INDEX(K$11:K$40,MATCH(B24,L$11:L$40,0))&lt;&gt;"内容は変化しない作業"),"-",MATCH(B24,L$11:L$40,0))))</f>
        <v/>
      </c>
      <c r="F24" s="71">
        <f t="array" ref="F24">IF(E24="-","-",IF(AND(C24&lt;&gt;"",D24&gt;0,INDEX(K$11:K$40,E24)="内容は変化しない作業",AND(E24&lt;&gt;"-",E24&lt;&gt;""),INDEX(I$11:I$40,E24)&lt;&gt;"",INDEX(J$11:J$40,E24)&lt;&gt;""),INDEX(J$11:J$40,E24)-D24,"-"))</f>
        <v/>
      </c>
      <c r="H24" s="88" t="n">
        <v>14</v>
      </c>
      <c r="I24" s="89" t="n"/>
      <c r="J24" s="90" t="n"/>
      <c r="K24" s="91" t="n"/>
      <c r="L24" s="87" t="n"/>
      <c r="N24" s="78">
        <f t="array" ref="N24">IF(AND(I24&lt;&gt;"",J24&gt;0,K24="内容は変化しない作業",L24&gt;0,INDEX(C$11:C$40,L24)&lt;&gt;"",INDEX(D$11:D$40,L24)&lt;&gt;""),J24-INDEX(D$11:D$40,L24),"-")</f>
        <v/>
      </c>
      <c r="O24" s="30" t="n"/>
    </row>
    <row r="25">
      <c r="B25" s="88" t="n">
        <v>15</v>
      </c>
      <c r="C25" s="95" t="n"/>
      <c r="D25" s="96" t="n"/>
      <c r="E25" s="70">
        <f>IF(OR(C25="",D25=""),"-",IF(IFERROR(MATCH(B25,L$11:L$40,0),"")="","-",IF(OR(INDEX(I$11:I$40,MATCH(B25,L$11:L$40,0))="",INDEX(J$11:J$40,MATCH(B25,L$11:L$40,0))="",INDEX(K$11:K$40,MATCH(B25,L$11:L$40,0))&lt;&gt;"内容は変化しない作業"),"-",MATCH(B25,L$11:L$40,0))))</f>
        <v/>
      </c>
      <c r="F25" s="71">
        <f t="array" ref="F25">IF(E25="-","-",IF(AND(C25&lt;&gt;"",D25&gt;0,INDEX(K$11:K$40,E25)="内容は変化しない作業",AND(E25&lt;&gt;"-",E25&lt;&gt;""),INDEX(I$11:I$40,E25)&lt;&gt;"",INDEX(J$11:J$40,E25)&lt;&gt;""),INDEX(J$11:J$40,E25)-D25,"-"))</f>
        <v/>
      </c>
      <c r="H25" s="88" t="n">
        <v>15</v>
      </c>
      <c r="I25" s="89" t="n"/>
      <c r="J25" s="90" t="n"/>
      <c r="K25" s="91" t="n"/>
      <c r="L25" s="87" t="n"/>
      <c r="N25" s="78">
        <f t="array" ref="N25">IF(AND(I25&lt;&gt;"",J25&gt;0,K25="内容は変化しない作業",L25&gt;0,INDEX(C$11:C$40,L25)&lt;&gt;"",INDEX(D$11:D$40,L25)&lt;&gt;""),J25-INDEX(D$11:D$40,L25),"-")</f>
        <v/>
      </c>
      <c r="O25" s="30" t="n"/>
    </row>
    <row r="26">
      <c r="B26" s="88" t="n">
        <v>16</v>
      </c>
      <c r="C26" s="95" t="n"/>
      <c r="D26" s="96" t="n"/>
      <c r="E26" s="70">
        <f>IF(OR(C26="",D26=""),"-",IF(IFERROR(MATCH(B26,L$11:L$40,0),"")="","-",IF(OR(INDEX(I$11:I$40,MATCH(B26,L$11:L$40,0))="",INDEX(J$11:J$40,MATCH(B26,L$11:L$40,0))="",INDEX(K$11:K$40,MATCH(B26,L$11:L$40,0))&lt;&gt;"内容は変化しない作業"),"-",MATCH(B26,L$11:L$40,0))))</f>
        <v/>
      </c>
      <c r="F26" s="71">
        <f t="array" ref="F26">IF(E26="-","-",IF(AND(C26&lt;&gt;"",D26&gt;0,INDEX(K$11:K$40,E26)="内容は変化しない作業",AND(E26&lt;&gt;"-",E26&lt;&gt;""),INDEX(I$11:I$40,E26)&lt;&gt;"",INDEX(J$11:J$40,E26)&lt;&gt;""),INDEX(J$11:J$40,E26)-D26,"-"))</f>
        <v/>
      </c>
      <c r="H26" s="88" t="n">
        <v>16</v>
      </c>
      <c r="I26" s="89" t="n"/>
      <c r="J26" s="90" t="n"/>
      <c r="K26" s="91" t="n"/>
      <c r="L26" s="87" t="n"/>
      <c r="N26" s="78">
        <f t="array" ref="N26">IF(AND(I26&lt;&gt;"",J26&gt;0,K26="内容は変化しない作業",L26&gt;0,INDEX(C$11:C$40,L26)&lt;&gt;"",INDEX(D$11:D$40,L26)&lt;&gt;""),J26-INDEX(D$11:D$40,L26),"-")</f>
        <v/>
      </c>
      <c r="O26" s="30" t="n"/>
    </row>
    <row r="27">
      <c r="B27" s="88" t="n">
        <v>17</v>
      </c>
      <c r="C27" s="95" t="n"/>
      <c r="D27" s="96" t="n"/>
      <c r="E27" s="70">
        <f>IF(OR(C27="",D27=""),"-",IF(IFERROR(MATCH(B27,L$11:L$40,0),"")="","-",IF(OR(INDEX(I$11:I$40,MATCH(B27,L$11:L$40,0))="",INDEX(J$11:J$40,MATCH(B27,L$11:L$40,0))="",INDEX(K$11:K$40,MATCH(B27,L$11:L$40,0))&lt;&gt;"内容は変化しない作業"),"-",MATCH(B27,L$11:L$40,0))))</f>
        <v/>
      </c>
      <c r="F27" s="71">
        <f t="array" ref="F27">IF(E27="-","-",IF(AND(C27&lt;&gt;"",D27&gt;0,INDEX(K$11:K$40,E27)="内容は変化しない作業",AND(E27&lt;&gt;"-",E27&lt;&gt;""),INDEX(I$11:I$40,E27)&lt;&gt;"",INDEX(J$11:J$40,E27)&lt;&gt;""),INDEX(J$11:J$40,E27)-D27,"-"))</f>
        <v/>
      </c>
      <c r="H27" s="88" t="n">
        <v>17</v>
      </c>
      <c r="I27" s="89" t="n"/>
      <c r="J27" s="90" t="n"/>
      <c r="K27" s="91" t="n"/>
      <c r="L27" s="87" t="n"/>
      <c r="N27" s="78">
        <f t="array" ref="N27">IF(AND(I27&lt;&gt;"",J27&gt;0,K27="内容は変化しない作業",L27&gt;0,INDEX(C$11:C$40,L27)&lt;&gt;"",INDEX(D$11:D$40,L27)&lt;&gt;""),J27-INDEX(D$11:D$40,L27),"-")</f>
        <v/>
      </c>
      <c r="O27" s="30" t="n"/>
    </row>
    <row r="28">
      <c r="B28" s="88" t="n">
        <v>18</v>
      </c>
      <c r="C28" s="95" t="n"/>
      <c r="D28" s="96" t="n"/>
      <c r="E28" s="70">
        <f>IF(OR(C28="",D28=""),"-",IF(IFERROR(MATCH(B28,L$11:L$40,0),"")="","-",IF(OR(INDEX(I$11:I$40,MATCH(B28,L$11:L$40,0))="",INDEX(J$11:J$40,MATCH(B28,L$11:L$40,0))="",INDEX(K$11:K$40,MATCH(B28,L$11:L$40,0))&lt;&gt;"内容は変化しない作業"),"-",MATCH(B28,L$11:L$40,0))))</f>
        <v/>
      </c>
      <c r="F28" s="71">
        <f t="array" ref="F28">IF(E28="-","-",IF(AND(C28&lt;&gt;"",D28&gt;0,INDEX(K$11:K$40,E28)="内容は変化しない作業",AND(E28&lt;&gt;"-",E28&lt;&gt;""),INDEX(I$11:I$40,E28)&lt;&gt;"",INDEX(J$11:J$40,E28)&lt;&gt;""),INDEX(J$11:J$40,E28)-D28,"-"))</f>
        <v/>
      </c>
      <c r="H28" s="88" t="n">
        <v>18</v>
      </c>
      <c r="I28" s="89" t="n"/>
      <c r="J28" s="90" t="n"/>
      <c r="K28" s="91" t="n"/>
      <c r="L28" s="87" t="n"/>
      <c r="N28" s="78">
        <f t="array" ref="N28">IF(AND(I28&lt;&gt;"",J28&gt;0,K28="内容は変化しない作業",L28&gt;0,INDEX(C$11:C$40,L28)&lt;&gt;"",INDEX(D$11:D$40,L28)&lt;&gt;""),J28-INDEX(D$11:D$40,L28),"-")</f>
        <v/>
      </c>
      <c r="O28" s="30" t="n"/>
    </row>
    <row r="29">
      <c r="B29" s="88" t="n">
        <v>19</v>
      </c>
      <c r="C29" s="95" t="n"/>
      <c r="D29" s="96" t="n"/>
      <c r="E29" s="70">
        <f>IF(OR(C29="",D29=""),"-",IF(IFERROR(MATCH(B29,L$11:L$40,0),"")="","-",IF(OR(INDEX(I$11:I$40,MATCH(B29,L$11:L$40,0))="",INDEX(J$11:J$40,MATCH(B29,L$11:L$40,0))="",INDEX(K$11:K$40,MATCH(B29,L$11:L$40,0))&lt;&gt;"内容は変化しない作業"),"-",MATCH(B29,L$11:L$40,0))))</f>
        <v/>
      </c>
      <c r="F29" s="71">
        <f t="array" ref="F29">IF(E29="-","-",IF(AND(C29&lt;&gt;"",D29&gt;0,INDEX(K$11:K$40,E29)="内容は変化しない作業",AND(E29&lt;&gt;"-",E29&lt;&gt;""),INDEX(I$11:I$40,E29)&lt;&gt;"",INDEX(J$11:J$40,E29)&lt;&gt;""),INDEX(J$11:J$40,E29)-D29,"-"))</f>
        <v/>
      </c>
      <c r="H29" s="88" t="n">
        <v>19</v>
      </c>
      <c r="I29" s="89" t="n"/>
      <c r="J29" s="90" t="n"/>
      <c r="K29" s="91" t="n"/>
      <c r="L29" s="87" t="n"/>
      <c r="N29" s="78">
        <f t="array" ref="N29">IF(AND(I29&lt;&gt;"",J29&gt;0,K29="内容は変化しない作業",L29&gt;0,INDEX(C$11:C$40,L29)&lt;&gt;"",INDEX(D$11:D$40,L29)&lt;&gt;""),J29-INDEX(D$11:D$40,L29),"-")</f>
        <v/>
      </c>
      <c r="O29" s="30" t="n"/>
    </row>
    <row r="30">
      <c r="B30" s="88" t="n">
        <v>20</v>
      </c>
      <c r="C30" s="95" t="n"/>
      <c r="D30" s="96" t="n"/>
      <c r="E30" s="70">
        <f>IF(OR(C30="",D30=""),"-",IF(IFERROR(MATCH(B30,L$11:L$40,0),"")="","-",IF(OR(INDEX(I$11:I$40,MATCH(B30,L$11:L$40,0))="",INDEX(J$11:J$40,MATCH(B30,L$11:L$40,0))="",INDEX(K$11:K$40,MATCH(B30,L$11:L$40,0))&lt;&gt;"内容は変化しない作業"),"-",MATCH(B30,L$11:L$40,0))))</f>
        <v/>
      </c>
      <c r="F30" s="71">
        <f t="array" ref="F30">IF(E30="-","-",IF(AND(C30&lt;&gt;"",D30&gt;0,INDEX(K$11:K$40,E30)="内容は変化しない作業",AND(E30&lt;&gt;"-",E30&lt;&gt;""),INDEX(I$11:I$40,E30)&lt;&gt;"",INDEX(J$11:J$40,E30)&lt;&gt;""),INDEX(J$11:J$40,E30)-D30,"-"))</f>
        <v/>
      </c>
      <c r="H30" s="88" t="n">
        <v>20</v>
      </c>
      <c r="I30" s="89" t="n"/>
      <c r="J30" s="90" t="n"/>
      <c r="K30" s="91" t="n"/>
      <c r="L30" s="87" t="n"/>
      <c r="N30" s="78">
        <f t="array" ref="N30">IF(AND(I30&lt;&gt;"",J30&gt;0,K30="内容は変化しない作業",L30&gt;0,INDEX(C$11:C$40,L30)&lt;&gt;"",INDEX(D$11:D$40,L30)&lt;&gt;""),J30-INDEX(D$11:D$40,L30),"-")</f>
        <v/>
      </c>
      <c r="O30" s="30" t="n"/>
    </row>
    <row r="31">
      <c r="B31" s="88" t="n">
        <v>21</v>
      </c>
      <c r="C31" s="95" t="n"/>
      <c r="D31" s="96" t="n"/>
      <c r="E31" s="70">
        <f>IF(OR(C31="",D31=""),"-",IF(IFERROR(MATCH(B31,L$11:L$40,0),"")="","-",IF(OR(INDEX(I$11:I$40,MATCH(B31,L$11:L$40,0))="",INDEX(J$11:J$40,MATCH(B31,L$11:L$40,0))="",INDEX(K$11:K$40,MATCH(B31,L$11:L$40,0))&lt;&gt;"内容は変化しない作業"),"-",MATCH(B31,L$11:L$40,0))))</f>
        <v/>
      </c>
      <c r="F31" s="71">
        <f t="array" ref="F31">IF(E31="-","-",IF(AND(C31&lt;&gt;"",D31&gt;0,INDEX(K$11:K$40,E31)="内容は変化しない作業",AND(E31&lt;&gt;"-",E31&lt;&gt;""),INDEX(I$11:I$40,E31)&lt;&gt;"",INDEX(J$11:J$40,E31)&lt;&gt;""),INDEX(J$11:J$40,E31)-D31,"-"))</f>
        <v/>
      </c>
      <c r="H31" s="88" t="n">
        <v>21</v>
      </c>
      <c r="I31" s="89" t="n"/>
      <c r="J31" s="90" t="n"/>
      <c r="K31" s="91" t="n"/>
      <c r="L31" s="87" t="n"/>
      <c r="N31" s="78">
        <f t="array" ref="N31">IF(AND(I31&lt;&gt;"",J31&gt;0,K31="内容は変化しない作業",L31&gt;0,INDEX(C$11:C$40,L31)&lt;&gt;"",INDEX(D$11:D$40,L31)&lt;&gt;""),J31-INDEX(D$11:D$40,L31),"-")</f>
        <v/>
      </c>
      <c r="O31" s="30" t="n"/>
    </row>
    <row r="32">
      <c r="B32" s="88" t="n">
        <v>22</v>
      </c>
      <c r="C32" s="95" t="n"/>
      <c r="D32" s="96" t="n"/>
      <c r="E32" s="70">
        <f>IF(OR(C32="",D32=""),"-",IF(IFERROR(MATCH(B32,L$11:L$40,0),"")="","-",IF(OR(INDEX(I$11:I$40,MATCH(B32,L$11:L$40,0))="",INDEX(J$11:J$40,MATCH(B32,L$11:L$40,0))="",INDEX(K$11:K$40,MATCH(B32,L$11:L$40,0))&lt;&gt;"内容は変化しない作業"),"-",MATCH(B32,L$11:L$40,0))))</f>
        <v/>
      </c>
      <c r="F32" s="71">
        <f t="array" ref="F32">IF(E32="-","-",IF(AND(C32&lt;&gt;"",D32&gt;0,INDEX(K$11:K$40,E32)="内容は変化しない作業",AND(E32&lt;&gt;"-",E32&lt;&gt;""),INDEX(I$11:I$40,E32)&lt;&gt;"",INDEX(J$11:J$40,E32)&lt;&gt;""),INDEX(J$11:J$40,E32)-D32,"-"))</f>
        <v/>
      </c>
      <c r="H32" s="88" t="n">
        <v>22</v>
      </c>
      <c r="I32" s="89" t="n"/>
      <c r="J32" s="90" t="n"/>
      <c r="K32" s="91" t="n"/>
      <c r="L32" s="87" t="n"/>
      <c r="N32" s="78">
        <f t="array" ref="N32">IF(AND(I32&lt;&gt;"",J32&gt;0,K32="内容は変化しない作業",L32&gt;0,INDEX(C$11:C$40,L32)&lt;&gt;"",INDEX(D$11:D$40,L32)&lt;&gt;""),J32-INDEX(D$11:D$40,L32),"-")</f>
        <v/>
      </c>
      <c r="O32" s="30" t="n"/>
    </row>
    <row r="33">
      <c r="B33" s="88" t="n">
        <v>23</v>
      </c>
      <c r="C33" s="95" t="n"/>
      <c r="D33" s="96" t="n"/>
      <c r="E33" s="70">
        <f>IF(OR(C33="",D33=""),"-",IF(IFERROR(MATCH(B33,L$11:L$40,0),"")="","-",IF(OR(INDEX(I$11:I$40,MATCH(B33,L$11:L$40,0))="",INDEX(J$11:J$40,MATCH(B33,L$11:L$40,0))="",INDEX(K$11:K$40,MATCH(B33,L$11:L$40,0))&lt;&gt;"内容は変化しない作業"),"-",MATCH(B33,L$11:L$40,0))))</f>
        <v/>
      </c>
      <c r="F33" s="71">
        <f t="array" ref="F33">IF(E33="-","-",IF(AND(C33&lt;&gt;"",D33&gt;0,INDEX(K$11:K$40,E33)="内容は変化しない作業",AND(E33&lt;&gt;"-",E33&lt;&gt;""),INDEX(I$11:I$40,E33)&lt;&gt;"",INDEX(J$11:J$40,E33)&lt;&gt;""),INDEX(J$11:J$40,E33)-D33,"-"))</f>
        <v/>
      </c>
      <c r="H33" s="88" t="n">
        <v>23</v>
      </c>
      <c r="I33" s="89" t="n"/>
      <c r="J33" s="90" t="n"/>
      <c r="K33" s="91" t="n"/>
      <c r="L33" s="87" t="n"/>
      <c r="N33" s="78">
        <f t="array" ref="N33">IF(AND(I33&lt;&gt;"",J33&gt;0,K33="内容は変化しない作業",L33&gt;0,INDEX(C$11:C$40,L33)&lt;&gt;"",INDEX(D$11:D$40,L33)&lt;&gt;""),J33-INDEX(D$11:D$40,L33),"-")</f>
        <v/>
      </c>
      <c r="O33" s="30" t="n"/>
    </row>
    <row r="34">
      <c r="B34" s="88" t="n">
        <v>24</v>
      </c>
      <c r="C34" s="95" t="n"/>
      <c r="D34" s="96" t="n"/>
      <c r="E34" s="70">
        <f>IF(OR(C34="",D34=""),"-",IF(IFERROR(MATCH(B34,L$11:L$40,0),"")="","-",IF(OR(INDEX(I$11:I$40,MATCH(B34,L$11:L$40,0))="",INDEX(J$11:J$40,MATCH(B34,L$11:L$40,0))="",INDEX(K$11:K$40,MATCH(B34,L$11:L$40,0))&lt;&gt;"内容は変化しない作業"),"-",MATCH(B34,L$11:L$40,0))))</f>
        <v/>
      </c>
      <c r="F34" s="71">
        <f t="array" ref="F34">IF(E34="-","-",IF(AND(C34&lt;&gt;"",D34&gt;0,INDEX(K$11:K$40,E34)="内容は変化しない作業",AND(E34&lt;&gt;"-",E34&lt;&gt;""),INDEX(I$11:I$40,E34)&lt;&gt;"",INDEX(J$11:J$40,E34)&lt;&gt;""),INDEX(J$11:J$40,E34)-D34,"-"))</f>
        <v/>
      </c>
      <c r="H34" s="88" t="n">
        <v>24</v>
      </c>
      <c r="I34" s="89" t="n"/>
      <c r="J34" s="90" t="n"/>
      <c r="K34" s="91" t="n"/>
      <c r="L34" s="87" t="n"/>
      <c r="N34" s="78">
        <f t="array" ref="N34">IF(AND(I34&lt;&gt;"",J34&gt;0,K34="内容は変化しない作業",L34&gt;0,INDEX(C$11:C$40,L34)&lt;&gt;"",INDEX(D$11:D$40,L34)&lt;&gt;""),J34-INDEX(D$11:D$40,L34),"-")</f>
        <v/>
      </c>
      <c r="O34" s="30" t="n"/>
    </row>
    <row r="35">
      <c r="B35" s="88" t="n">
        <v>25</v>
      </c>
      <c r="C35" s="95" t="n"/>
      <c r="D35" s="96" t="n"/>
      <c r="E35" s="70">
        <f>IF(OR(C35="",D35=""),"-",IF(IFERROR(MATCH(B35,L$11:L$40,0),"")="","-",IF(OR(INDEX(I$11:I$40,MATCH(B35,L$11:L$40,0))="",INDEX(J$11:J$40,MATCH(B35,L$11:L$40,0))="",INDEX(K$11:K$40,MATCH(B35,L$11:L$40,0))&lt;&gt;"内容は変化しない作業"),"-",MATCH(B35,L$11:L$40,0))))</f>
        <v/>
      </c>
      <c r="F35" s="71">
        <f t="array" ref="F35">IF(E35="-","-",IF(AND(C35&lt;&gt;"",D35&gt;0,INDEX(K$11:K$40,E35)="内容は変化しない作業",AND(E35&lt;&gt;"-",E35&lt;&gt;""),INDEX(I$11:I$40,E35)&lt;&gt;"",INDEX(J$11:J$40,E35)&lt;&gt;""),INDEX(J$11:J$40,E35)-D35,"-"))</f>
        <v/>
      </c>
      <c r="H35" s="88" t="n">
        <v>25</v>
      </c>
      <c r="I35" s="89" t="n"/>
      <c r="J35" s="90" t="n"/>
      <c r="K35" s="91" t="n"/>
      <c r="L35" s="87" t="n"/>
      <c r="N35" s="78">
        <f t="array" ref="N35">IF(AND(I35&lt;&gt;"",J35&gt;0,K35="内容は変化しない作業",L35&gt;0,INDEX(C$11:C$40,L35)&lt;&gt;"",INDEX(D$11:D$40,L35)&lt;&gt;""),J35-INDEX(D$11:D$40,L35),"-")</f>
        <v/>
      </c>
      <c r="O35" s="30" t="n"/>
    </row>
    <row r="36">
      <c r="B36" s="88" t="n">
        <v>26</v>
      </c>
      <c r="C36" s="95" t="n"/>
      <c r="D36" s="96" t="n"/>
      <c r="E36" s="70">
        <f>IF(OR(C36="",D36=""),"-",IF(IFERROR(MATCH(B36,L$11:L$40,0),"")="","-",IF(OR(INDEX(I$11:I$40,MATCH(B36,L$11:L$40,0))="",INDEX(J$11:J$40,MATCH(B36,L$11:L$40,0))="",INDEX(K$11:K$40,MATCH(B36,L$11:L$40,0))&lt;&gt;"内容は変化しない作業"),"-",MATCH(B36,L$11:L$40,0))))</f>
        <v/>
      </c>
      <c r="F36" s="71">
        <f t="array" ref="F36">IF(E36="-","-",IF(AND(C36&lt;&gt;"",D36&gt;0,INDEX(K$11:K$40,E36)="内容は変化しない作業",AND(E36&lt;&gt;"-",E36&lt;&gt;""),INDEX(I$11:I$40,E36)&lt;&gt;"",INDEX(J$11:J$40,E36)&lt;&gt;""),INDEX(J$11:J$40,E36)-D36,"-"))</f>
        <v/>
      </c>
      <c r="H36" s="88" t="n">
        <v>26</v>
      </c>
      <c r="I36" s="89" t="n"/>
      <c r="J36" s="90" t="n"/>
      <c r="K36" s="91" t="n"/>
      <c r="L36" s="87" t="n"/>
      <c r="N36" s="78">
        <f t="array" ref="N36">IF(AND(I36&lt;&gt;"",J36&gt;0,K36="内容は変化しない作業",L36&gt;0,INDEX(C$11:C$40,L36)&lt;&gt;"",INDEX(D$11:D$40,L36)&lt;&gt;""),J36-INDEX(D$11:D$40,L36),"-")</f>
        <v/>
      </c>
      <c r="O36" s="30" t="n"/>
    </row>
    <row r="37">
      <c r="B37" s="88" t="n">
        <v>27</v>
      </c>
      <c r="C37" s="95" t="n"/>
      <c r="D37" s="96" t="n"/>
      <c r="E37" s="70">
        <f>IF(OR(C37="",D37=""),"-",IF(IFERROR(MATCH(B37,L$11:L$40,0),"")="","-",IF(OR(INDEX(I$11:I$40,MATCH(B37,L$11:L$40,0))="",INDEX(J$11:J$40,MATCH(B37,L$11:L$40,0))="",INDEX(K$11:K$40,MATCH(B37,L$11:L$40,0))&lt;&gt;"内容は変化しない作業"),"-",MATCH(B37,L$11:L$40,0))))</f>
        <v/>
      </c>
      <c r="F37" s="71">
        <f t="array" ref="F37">IF(E37="-","-",IF(AND(C37&lt;&gt;"",D37&gt;0,INDEX(K$11:K$40,E37)="内容は変化しない作業",AND(E37&lt;&gt;"-",E37&lt;&gt;""),INDEX(I$11:I$40,E37)&lt;&gt;"",INDEX(J$11:J$40,E37)&lt;&gt;""),INDEX(J$11:J$40,E37)-D37,"-"))</f>
        <v/>
      </c>
      <c r="H37" s="88" t="n">
        <v>27</v>
      </c>
      <c r="I37" s="89" t="n"/>
      <c r="J37" s="90" t="n"/>
      <c r="K37" s="91" t="n"/>
      <c r="L37" s="87" t="n"/>
      <c r="N37" s="78">
        <f t="array" ref="N37">IF(AND(I37&lt;&gt;"",J37&gt;0,K37="内容は変化しない作業",L37&gt;0,INDEX(C$11:C$40,L37)&lt;&gt;"",INDEX(D$11:D$40,L37)&lt;&gt;""),J37-INDEX(D$11:D$40,L37),"-")</f>
        <v/>
      </c>
      <c r="O37" s="30" t="n"/>
    </row>
    <row r="38">
      <c r="B38" s="88" t="n">
        <v>28</v>
      </c>
      <c r="C38" s="95" t="n"/>
      <c r="D38" s="96" t="n"/>
      <c r="E38" s="70">
        <f>IF(OR(C38="",D38=""),"-",IF(IFERROR(MATCH(B38,L$11:L$40,0),"")="","-",IF(OR(INDEX(I$11:I$40,MATCH(B38,L$11:L$40,0))="",INDEX(J$11:J$40,MATCH(B38,L$11:L$40,0))="",INDEX(K$11:K$40,MATCH(B38,L$11:L$40,0))&lt;&gt;"内容は変化しない作業"),"-",MATCH(B38,L$11:L$40,0))))</f>
        <v/>
      </c>
      <c r="F38" s="71">
        <f t="array" ref="F38">IF(E38="-","-",IF(AND(C38&lt;&gt;"",D38&gt;0,INDEX(K$11:K$40,E38)="内容は変化しない作業",AND(E38&lt;&gt;"-",E38&lt;&gt;""),INDEX(I$11:I$40,E38)&lt;&gt;"",INDEX(J$11:J$40,E38)&lt;&gt;""),INDEX(J$11:J$40,E38)-D38,"-"))</f>
        <v/>
      </c>
      <c r="H38" s="88" t="n">
        <v>28</v>
      </c>
      <c r="I38" s="89" t="n"/>
      <c r="J38" s="90" t="n"/>
      <c r="K38" s="91" t="n"/>
      <c r="L38" s="87" t="n"/>
      <c r="N38" s="78">
        <f t="array" ref="N38">IF(AND(I38&lt;&gt;"",J38&gt;0,K38="内容は変化しない作業",L38&gt;0,INDEX(C$11:C$40,L38)&lt;&gt;"",INDEX(D$11:D$40,L38)&lt;&gt;""),J38-INDEX(D$11:D$40,L38),"-")</f>
        <v/>
      </c>
      <c r="O38" s="30" t="n"/>
    </row>
    <row r="39">
      <c r="B39" s="88" t="n">
        <v>29</v>
      </c>
      <c r="C39" s="95" t="n"/>
      <c r="D39" s="96" t="n"/>
      <c r="E39" s="70">
        <f>IF(OR(C39="",D39=""),"-",IF(IFERROR(MATCH(B39,L$11:L$40,0),"")="","-",IF(OR(INDEX(I$11:I$40,MATCH(B39,L$11:L$40,0))="",INDEX(J$11:J$40,MATCH(B39,L$11:L$40,0))="",INDEX(K$11:K$40,MATCH(B39,L$11:L$40,0))&lt;&gt;"内容は変化しない作業"),"-",MATCH(B39,L$11:L$40,0))))</f>
        <v/>
      </c>
      <c r="F39" s="71">
        <f t="array" ref="F39">IF(E39="-","-",IF(AND(C39&lt;&gt;"",D39&gt;0,INDEX(K$11:K$40,E39)="内容は変化しない作業",AND(E39&lt;&gt;"-",E39&lt;&gt;""),INDEX(I$11:I$40,E39)&lt;&gt;"",INDEX(J$11:J$40,E39)&lt;&gt;""),INDEX(J$11:J$40,E39)-D39,"-"))</f>
        <v/>
      </c>
      <c r="H39" s="88" t="n">
        <v>29</v>
      </c>
      <c r="I39" s="89" t="n"/>
      <c r="J39" s="90" t="n"/>
      <c r="K39" s="91" t="n"/>
      <c r="L39" s="87" t="n"/>
      <c r="N39" s="78">
        <f t="array" ref="N39">IF(AND(I39&lt;&gt;"",J39&gt;0,K39="内容は変化しない作業",L39&gt;0,INDEX(C$11:C$40,L39)&lt;&gt;"",INDEX(D$11:D$40,L39)&lt;&gt;""),J39-INDEX(D$11:D$40,L39),"-")</f>
        <v/>
      </c>
      <c r="O39" s="30" t="n"/>
    </row>
    <row r="40" ht="13.5" customHeight="1" thickBot="1">
      <c r="B40" s="88" t="n">
        <v>30</v>
      </c>
      <c r="C40" s="97" t="n"/>
      <c r="D40" s="98" t="n"/>
      <c r="E40" s="70">
        <f>IF(OR(C40="",D40=""),"-",IF(IFERROR(MATCH(B40,L$11:L$40,0),"")="","-",IF(OR(INDEX(I$11:I$40,MATCH(B40,L$11:L$40,0))="",INDEX(J$11:J$40,MATCH(B40,L$11:L$40,0))="",INDEX(K$11:K$40,MATCH(B40,L$11:L$40,0))&lt;&gt;"内容は変化しない作業"),"-",MATCH(B40,L$11:L$40,0))))</f>
        <v/>
      </c>
      <c r="F40" s="71">
        <f t="array" ref="F40">IF(E40="-","-",IF(AND(C40&lt;&gt;"",D40&gt;0,INDEX(K$11:K$40,E40)="内容は変化しない作業",AND(E40&lt;&gt;"-",E40&lt;&gt;""),INDEX(I$11:I$40,E40)&lt;&gt;"",INDEX(J$11:J$40,E40)&lt;&gt;""),INDEX(J$11:J$40,E40)-D40,"-"))</f>
        <v/>
      </c>
      <c r="H40" s="88" t="n">
        <v>30</v>
      </c>
      <c r="I40" s="99" t="n"/>
      <c r="J40" s="100" t="n"/>
      <c r="K40" s="101" t="n"/>
      <c r="L40" s="102" t="n"/>
      <c r="N40" s="78">
        <f t="array" ref="N40">IF(AND(I40&lt;&gt;"",J40&gt;0,K40="内容は変化しない作業",L40&gt;0,INDEX(C$11:C$40,L40)&lt;&gt;"",INDEX(D$11:D$40,L40)&lt;&gt;""),J40-INDEX(D$11:D$40,L40),"-")</f>
        <v/>
      </c>
      <c r="O40" s="30" t="n"/>
    </row>
    <row r="41">
      <c r="B41" s="103" t="n"/>
      <c r="C41" s="103" t="n"/>
      <c r="D41" s="103" t="n"/>
      <c r="E41" s="103" t="n"/>
      <c r="F41" s="103" t="n"/>
      <c r="G41" s="103" t="n"/>
      <c r="H41" s="103" t="n"/>
      <c r="I41" s="103" t="n"/>
      <c r="J41" s="103" t="n"/>
      <c r="K41" s="103" t="n"/>
      <c r="L41" s="103" t="n"/>
      <c r="M41" s="103" t="n"/>
      <c r="N41" s="103" t="n"/>
    </row>
    <row r="42">
      <c r="B42" s="120" t="n"/>
      <c r="J42" s="72" t="n"/>
      <c r="N42" s="104" t="n"/>
    </row>
    <row r="43">
      <c r="B43" s="120" t="n"/>
    </row>
    <row r="44">
      <c r="B44" s="120" t="n"/>
    </row>
    <row r="45">
      <c r="B45" s="120" t="n"/>
    </row>
    <row r="46">
      <c r="B46" s="120" t="n"/>
    </row>
    <row r="47">
      <c r="B47" s="120" t="n"/>
    </row>
    <row r="48">
      <c r="B48" s="120" t="n"/>
    </row>
    <row r="49">
      <c r="B49" s="120" t="n"/>
    </row>
    <row r="50">
      <c r="B50" s="120" t="n"/>
    </row>
    <row r="51"/>
    <row r="52">
      <c r="B52" s="120" t="n"/>
    </row>
    <row r="53">
      <c r="B53" s="120" t="n"/>
    </row>
    <row r="54">
      <c r="B54" s="120" t="n"/>
    </row>
    <row r="55">
      <c r="B55" s="120" t="n"/>
    </row>
    <row r="56">
      <c r="B56" s="120" t="n"/>
    </row>
    <row r="57">
      <c r="B57" s="120" t="n"/>
    </row>
  </sheetData>
  <mergeCells count="15">
    <mergeCell ref="B47:G47"/>
    <mergeCell ref="B54:G54"/>
    <mergeCell ref="B48:G48"/>
    <mergeCell ref="B42:G42"/>
    <mergeCell ref="B46:G46"/>
    <mergeCell ref="B45:G45"/>
    <mergeCell ref="B57:G57"/>
    <mergeCell ref="B49:G49"/>
    <mergeCell ref="B50:G50"/>
    <mergeCell ref="B43:G43"/>
    <mergeCell ref="B56:G56"/>
    <mergeCell ref="B52:G52"/>
    <mergeCell ref="B44:G44"/>
    <mergeCell ref="B53:G53"/>
    <mergeCell ref="B55:G55"/>
  </mergeCells>
  <conditionalFormatting sqref="B11:D40">
    <cfRule type="expression" priority="10" dxfId="9">
      <formula>AND($C11&lt;&gt;"",$D11&lt;&gt;"",$E11="-")</formula>
    </cfRule>
  </conditionalFormatting>
  <conditionalFormatting sqref="C11:D40">
    <cfRule type="expression" priority="5" dxfId="0">
      <formula>$D11=""</formula>
    </cfRule>
    <cfRule type="expression" priority="6" dxfId="0">
      <formula>$C11=""</formula>
    </cfRule>
  </conditionalFormatting>
  <conditionalFormatting sqref="H11:H40">
    <cfRule type="expression" priority="2" dxfId="6">
      <formula>OR($I11="",$J11="")</formula>
    </cfRule>
  </conditionalFormatting>
  <conditionalFormatting sqref="H11:K40">
    <cfRule type="expression" priority="7" dxfId="5">
      <formula>OR($K11="新たに追加される作業",AND($K11="内容は変化しない作業",$I11&lt;&gt;"",$J11&lt;&gt;"",$L11&lt;&gt;"",$N11="-"),AND($I11&lt;&gt;"",$J11&lt;&gt;"",$K12&lt;&gt;"",$N11="-"))</formula>
    </cfRule>
  </conditionalFormatting>
  <conditionalFormatting sqref="I11:K40">
    <cfRule type="expression" priority="3" dxfId="0">
      <formula>$J11=""</formula>
    </cfRule>
    <cfRule type="expression" priority="4" dxfId="0">
      <formula>$I11=""</formula>
    </cfRule>
  </conditionalFormatting>
  <conditionalFormatting sqref="L11:L40">
    <cfRule type="expression" priority="1" dxfId="2">
      <formula>AND(N11="-",L11&lt;&gt;"")</formula>
    </cfRule>
    <cfRule type="expression" priority="8" dxfId="1">
      <formula>AND(L11&lt;&gt;"",K11="内容は変化しない作業",N11&lt;&gt;"-")</formula>
    </cfRule>
    <cfRule type="expression" priority="9" dxfId="0">
      <formula>K11="内容は変化しない作業"</formula>
    </cfRule>
  </conditionalFormatting>
  <dataValidations count="3">
    <dataValidation sqref="L11:L40" showDropDown="0" showInputMessage="1" showErrorMessage="1" allowBlank="1" type="whole">
      <formula1>1</formula1>
      <formula2>30</formula2>
    </dataValidation>
    <dataValidation sqref="D11:D40 J11:J40" showDropDown="0" showInputMessage="1" showErrorMessage="1" allowBlank="1" type="whole" operator="greaterThanOrEqual">
      <formula1>1</formula1>
    </dataValidation>
    <dataValidation sqref="K11:K40" showDropDown="0" showInputMessage="1" showErrorMessage="1" allowBlank="1" type="list">
      <formula1>$P$11:$P$13</formula1>
    </dataValidation>
  </dataValidation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2026-03-25T08:26:40Z</dcterms:created>
  <dcterms:modified xmlns:dcterms="http://purl.org/dc/terms/" xmlns:xsi="http://www.w3.org/2001/XMLSchema-instance" xsi:type="dcterms:W3CDTF">2026-09-08T23:58:25Z</dcterms:modified>
  <cp:lastModifiedBy>本木</cp:lastModifiedBy>
</cp:coreProperties>
</file>