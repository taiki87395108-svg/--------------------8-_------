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E2B008B8-EFC8-4EB9-81FF-FACA0749C6EB}" xr6:coauthVersionLast="47" xr6:coauthVersionMax="47" xr10:uidLastSave="{00000000-0000-0000-0000-000000000000}"/>
  <workbookProtection workbookAlgorithmName="SHA-512" workbookHashValue="h9WWmJWmHa3qx4RcQjSJKKlOsRbAVirCyhcQOQ90+FAlaDwVKQJ9+7mqediG2g6H7rUhRKO9/6CDn2oAFZdGjg==" workbookSaltValue="LoZz/w+fmwEYVsyQI4C0nA==" workbookSpinCount="100000" lockStructure="1"/>
  <bookViews>
    <workbookView xWindow="20370" yWindow="-120" windowWidth="29040" windowHeight="15720" firstSheet="1" activeTab="1" xr2:uid="{00000000-000D-0000-FFFF-FFFF00000000}"/>
  </bookViews>
  <sheets>
    <sheet name="改訂履歴" sheetId="2" state="hidden" r:id="rId1"/>
    <sheet name="株主名簿" sheetId="1" r:id="rId2"/>
    <sheet name="リスト" sheetId="3" state="hidden" r:id="rId3"/>
  </sheets>
  <externalReferences>
    <externalReference r:id="rId4"/>
  </externalReferences>
  <definedNames>
    <definedName name="_xlnm.Print_Area" localSheetId="1">株主名簿!$A$2:$G$34</definedName>
    <definedName name="トレイ数">'[1]①製品審査申請書（工業会用）'!$E$29</definedName>
    <definedName name="機器費用">'[1]①製品審査申請書（工業会用）'!$E$42</definedName>
    <definedName name="設定費用">'[1]①製品審査申請書（工業会用）'!$E$43</definedName>
    <definedName name="操作人数">'[1]①製品審査申請書（工業会用）'!$E$30</definedName>
    <definedName name="配膳スピード">'[1]①製品審査申請書（工業会用）'!$E$28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3" i="1" l="1"/>
  <c r="O32" i="1"/>
  <c r="O31" i="1"/>
  <c r="O30" i="1"/>
  <c r="O29" i="1"/>
  <c r="O28" i="1"/>
  <c r="O27" i="1"/>
  <c r="O26" i="1"/>
  <c r="O25" i="1"/>
  <c r="O24" i="1"/>
  <c r="O23" i="1"/>
  <c r="O22" i="1"/>
  <c r="O21" i="1"/>
  <c r="O20" i="1"/>
  <c r="O19" i="1"/>
  <c r="O18" i="1"/>
  <c r="O17" i="1"/>
  <c r="O16" i="1"/>
  <c r="O15" i="1"/>
  <c r="O13" i="1"/>
  <c r="N13" i="1"/>
  <c r="N33" i="1"/>
  <c r="N32" i="1"/>
  <c r="N31" i="1"/>
  <c r="N30" i="1"/>
  <c r="N29" i="1"/>
  <c r="N28" i="1"/>
  <c r="N27" i="1"/>
  <c r="N26" i="1"/>
  <c r="N25" i="1"/>
  <c r="N24" i="1"/>
  <c r="N23" i="1"/>
  <c r="N22" i="1"/>
  <c r="N21" i="1"/>
  <c r="N20" i="1"/>
  <c r="N19" i="1"/>
  <c r="N18" i="1"/>
  <c r="N17" i="1"/>
  <c r="N16" i="1"/>
  <c r="M13" i="1"/>
  <c r="M33" i="1"/>
  <c r="M32" i="1"/>
  <c r="M31" i="1"/>
  <c r="M30" i="1"/>
  <c r="M29" i="1"/>
  <c r="M28" i="1"/>
  <c r="M27" i="1"/>
  <c r="M26" i="1"/>
  <c r="M25" i="1"/>
  <c r="M24" i="1"/>
  <c r="M23" i="1"/>
  <c r="M22" i="1"/>
  <c r="M21" i="1"/>
  <c r="M20" i="1"/>
  <c r="M19" i="1"/>
  <c r="M18" i="1"/>
  <c r="M17" i="1"/>
  <c r="M16" i="1"/>
  <c r="M15" i="1"/>
  <c r="M14" i="1"/>
  <c r="K28" i="1" l="1"/>
  <c r="L28" i="1"/>
  <c r="K29" i="1"/>
  <c r="L29" i="1"/>
  <c r="K30" i="1"/>
  <c r="L30" i="1"/>
  <c r="K31" i="1"/>
  <c r="L31" i="1"/>
  <c r="K32" i="1"/>
  <c r="L32" i="1"/>
  <c r="K33" i="1"/>
  <c r="L33" i="1"/>
  <c r="K24" i="1"/>
  <c r="L24" i="1"/>
  <c r="K25" i="1"/>
  <c r="L25" i="1"/>
  <c r="K26" i="1"/>
  <c r="L26" i="1"/>
  <c r="K27" i="1"/>
  <c r="L27" i="1"/>
  <c r="K14" i="1"/>
  <c r="K23" i="1"/>
  <c r="K22" i="1"/>
  <c r="K21" i="1"/>
  <c r="K20" i="1"/>
  <c r="K19" i="1"/>
  <c r="K18" i="1"/>
  <c r="K17" i="1"/>
  <c r="K16" i="1"/>
  <c r="K15" i="1"/>
  <c r="L14" i="1" l="1"/>
  <c r="L23" i="1"/>
  <c r="L22" i="1"/>
  <c r="L21" i="1"/>
  <c r="L20" i="1"/>
  <c r="L19" i="1"/>
  <c r="L18" i="1"/>
  <c r="L17" i="1"/>
  <c r="L16" i="1"/>
  <c r="L15" i="1"/>
  <c r="L13" i="1"/>
  <c r="O14" i="1" l="1"/>
  <c r="O35" i="1" s="1"/>
  <c r="N14" i="1"/>
  <c r="N15" i="1"/>
  <c r="L35" i="1"/>
  <c r="D9" i="1"/>
  <c r="D8" i="1" a="1"/>
  <c r="D8" i="1" s="1"/>
  <c r="D1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<sst xmlns="http://schemas.openxmlformats.org/spreadsheetml/2006/main" count="31" uniqueCount="30">
  <si>
    <t>申請する中小企業等の法人名</t>
    <phoneticPr fontId="2"/>
  </si>
  <si>
    <t>総株式発行数・出資価格総額</t>
    <rPh sb="7" eb="11">
      <t>シュッシカカク</t>
    </rPh>
    <rPh sb="11" eb="13">
      <t>ソウガク</t>
    </rPh>
    <phoneticPr fontId="2"/>
  </si>
  <si>
    <t>NO.</t>
  </si>
  <si>
    <t>株主名・出資者名</t>
    <rPh sb="4" eb="8">
      <t>シュッシシャメイ</t>
    </rPh>
    <phoneticPr fontId="2"/>
  </si>
  <si>
    <t>株保有数・出資価格</t>
    <rPh sb="5" eb="9">
      <t>シュッシカカク</t>
    </rPh>
    <phoneticPr fontId="2"/>
  </si>
  <si>
    <t>記入漏れチェック</t>
    <rPh sb="0" eb="2">
      <t>キニュウ</t>
    </rPh>
    <rPh sb="2" eb="3">
      <t>モ</t>
    </rPh>
    <phoneticPr fontId="2"/>
  </si>
  <si>
    <t>例</t>
  </si>
  <si>
    <t>事務局　太郎</t>
  </si>
  <si>
    <t>未記入数</t>
    <rPh sb="0" eb="4">
      <t>ミキニュウスウ</t>
    </rPh>
    <phoneticPr fontId="2"/>
  </si>
  <si>
    <t>数字チェック</t>
    <rPh sb="0" eb="2">
      <t>スウジ</t>
    </rPh>
    <phoneticPr fontId="2"/>
  </si>
  <si>
    <t>日付</t>
    <rPh sb="0" eb="2">
      <t>ヒヅケ</t>
    </rPh>
    <phoneticPr fontId="2"/>
  </si>
  <si>
    <t>内容</t>
    <rPh sb="0" eb="2">
      <t>ナイヨウ</t>
    </rPh>
    <phoneticPr fontId="2"/>
  </si>
  <si>
    <t>対象者：100人⇒20人に修正</t>
    <rPh sb="0" eb="3">
      <t>タイショウシャ</t>
    </rPh>
    <rPh sb="7" eb="8">
      <t>ニン</t>
    </rPh>
    <rPh sb="11" eb="12">
      <t>ニン</t>
    </rPh>
    <rPh sb="13" eb="15">
      <t>シュウセイ</t>
    </rPh>
    <phoneticPr fontId="2"/>
  </si>
  <si>
    <t>Ver</t>
    <phoneticPr fontId="2"/>
  </si>
  <si>
    <t>誤植修正</t>
    <rPh sb="0" eb="2">
      <t>ゴショク</t>
    </rPh>
    <rPh sb="2" eb="4">
      <t>シュウセイ</t>
    </rPh>
    <phoneticPr fontId="2"/>
  </si>
  <si>
    <t>大企業チェック</t>
    <rPh sb="0" eb="3">
      <t>ダイキギョウ</t>
    </rPh>
    <phoneticPr fontId="2"/>
  </si>
  <si>
    <t>みなし大企業チェック</t>
    <rPh sb="3" eb="6">
      <t>ダイキギョウ</t>
    </rPh>
    <phoneticPr fontId="2"/>
  </si>
  <si>
    <t>みなし大企業要件追加</t>
    <rPh sb="3" eb="6">
      <t>ダイキギョウ</t>
    </rPh>
    <rPh sb="6" eb="10">
      <t>ヨウケンツイカ</t>
    </rPh>
    <phoneticPr fontId="2"/>
  </si>
  <si>
    <t>チェックボックスをプルダウンに変更</t>
    <rPh sb="15" eb="17">
      <t>ヘンコウ</t>
    </rPh>
    <phoneticPr fontId="2"/>
  </si>
  <si>
    <t>✅</t>
  </si>
  <si>
    <t>✅</t>
    <phoneticPr fontId="2"/>
  </si>
  <si>
    <t>中小企業省力化投資補助金事業（一般型）　【指定様式】株主・出資者名簿</t>
    <rPh sb="15" eb="18">
      <t>イッパンガタ</t>
    </rPh>
    <rPh sb="21" eb="23">
      <t>シテイ</t>
    </rPh>
    <rPh sb="23" eb="25">
      <t>ヨウシキ</t>
    </rPh>
    <rPh sb="29" eb="32">
      <t>シュッシシャ</t>
    </rPh>
    <phoneticPr fontId="2"/>
  </si>
  <si>
    <t>みなし大企業説明修正</t>
    <rPh sb="3" eb="6">
      <t>ダイキギョウ</t>
    </rPh>
    <rPh sb="6" eb="10">
      <t>セツメイシュウセイ</t>
    </rPh>
    <phoneticPr fontId="2"/>
  </si>
  <si>
    <t>以下のいずれかに該当する場合はチェック
1.大企業
2.大企業に所属している
3.自治体等の公的機関</t>
    <rPh sb="0" eb="2">
      <t>イカ</t>
    </rPh>
    <rPh sb="8" eb="10">
      <t>ガイトウ</t>
    </rPh>
    <rPh sb="12" eb="14">
      <t>バアイ</t>
    </rPh>
    <rPh sb="41" eb="44">
      <t>ジチタイ</t>
    </rPh>
    <rPh sb="44" eb="45">
      <t>トウ</t>
    </rPh>
    <rPh sb="46" eb="48">
      <t>コウテキ</t>
    </rPh>
    <rPh sb="48" eb="50">
      <t>キカン</t>
    </rPh>
    <phoneticPr fontId="2"/>
  </si>
  <si>
    <t>別記１に該当する中小企業者</t>
    <rPh sb="0" eb="2">
      <t>ベッキ</t>
    </rPh>
    <phoneticPr fontId="2"/>
  </si>
  <si>
    <t>みなし大企業判定Ⅰ</t>
    <phoneticPr fontId="2"/>
  </si>
  <si>
    <t>みなし大企業判定Ⅱ</t>
    <phoneticPr fontId="2"/>
  </si>
  <si>
    <t>みなし大企業判定Ⅲ</t>
    <phoneticPr fontId="2"/>
  </si>
  <si>
    <t>公募要領改訂に伴う文言修正</t>
    <rPh sb="0" eb="4">
      <t>コウボヨウリョウ</t>
    </rPh>
    <rPh sb="4" eb="6">
      <t>カイテイ</t>
    </rPh>
    <rPh sb="7" eb="8">
      <t>トモナ</t>
    </rPh>
    <rPh sb="9" eb="13">
      <t>モンゴンシュウセイ</t>
    </rPh>
    <phoneticPr fontId="2"/>
  </si>
  <si>
    <t>Ver.1.6</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</si>
</sst>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游ゴシック"/>
      <family val="2"/>
      <charset val="128"/>
      <scheme val="minor"/>
    </font>
    <font>
      <sz val="11"/>
      <color theme="1"/>
      <name val="游ゴシック"/>
      <family val="2"/>
      <scheme val="minor"/>
    </font>
    <font>
      <sz val="6"/>
      <name val="游ゴシック"/>
      <family val="2"/>
      <charset val="128"/>
      <scheme val="minor"/>
    </font>
    <font>
      <sz val="11"/>
      <color theme="1"/>
      <name val="游ゴシック"/>
      <family val="2"/>
      <charset val="128"/>
      <scheme val="minor"/>
    </font>
    <font>
      <sz val="11"/>
      <color theme="1"/>
      <name val="游ゴシック"/>
      <family val="3"/>
      <charset val="128"/>
      <scheme val="minor"/>
    </font>
    <font>
      <b/>
      <sz val="11"/>
      <color theme="1"/>
      <name val="游ゴシック"/>
      <family val="3"/>
      <charset val="128"/>
      <scheme val="minor"/>
    </font>
    <font>
      <sz val="11"/>
      <name val="游ゴシック"/>
      <family val="3"/>
      <charset val="128"/>
      <scheme val="minor"/>
    </font>
    <font>
      <sz val="11"/>
      <color rgb="FFFF0000"/>
      <name val="游ゴシック"/>
      <family val="3"/>
      <charset val="128"/>
      <scheme val="minor"/>
    </font>
    <font>
      <b/>
      <sz val="11"/>
      <name val="游ゴシック"/>
      <family val="3"/>
      <charset val="128"/>
      <scheme val="minor"/>
    </font>
    <font>
      <sz val="11"/>
      <color theme="1"/>
      <name val="游ゴシック Light"/>
      <family val="3"/>
      <charset val="128"/>
      <scheme val="major"/>
    </font>
    <font>
      <sz val="11"/>
      <color theme="0"/>
      <name val="游ゴシック"/>
      <family val="2"/>
      <charset val="128"/>
      <scheme val="minor"/>
    </font>
    <font>
      <sz val="11"/>
      <color theme="0"/>
      <name val="游ゴシック"/>
      <family val="3"/>
      <charset val="128"/>
      <scheme val="minor"/>
    </font>
    <font>
      <sz val="8"/>
      <color theme="1"/>
      <name val="游ゴシック"/>
      <family val="3"/>
      <charset val="128"/>
      <scheme val="minor"/>
    </font>
    <font>
      <sz val="11"/>
      <color theme="1"/>
      <name val="Segoe UI Symbol"/>
      <family val="2"/>
    </font>
  </fonts>
  <fills count="8">
    <fill>
      <patternFill patternType="none"/>
    </fill>
    <fill>
      <patternFill patternType="gray125"/>
    </fill>
    <fill>
      <patternFill patternType="solid">
        <fgColor rgb="FFD8D8D8"/>
        <bgColor rgb="FFD8D8D8"/>
      </patternFill>
    </fill>
    <fill>
      <patternFill patternType="solid">
        <fgColor rgb="FFCCCCCC"/>
        <bgColor rgb="FFCCCCCC"/>
      </patternFill>
    </fill>
    <fill>
      <patternFill patternType="solid">
        <fgColor theme="0" tint="-0.14999847407452621"/>
        <bgColor rgb="FFD8D8D8"/>
      </patternFill>
    </fill>
    <fill>
      <patternFill patternType="solid">
        <fgColor theme="0" tint="-0.14999847407452621"/>
        <bgColor rgb="FFFFE599"/>
      </patternFill>
    </fill>
    <fill>
      <patternFill patternType="solid">
        <fgColor theme="0" tint="-0.14999847407452621"/>
        <bgColor indexed="64"/>
      </patternFill>
    </fill>
    <fill>
      <patternFill patternType="solid">
        <fgColor theme="4"/>
        <bgColor indexed="64"/>
      </patternFill>
    </fill>
  </fills>
  <borders count="2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ck">
        <color indexed="64"/>
      </left>
      <right style="thin">
        <color rgb="FF000000"/>
      </right>
      <top style="thick">
        <color indexed="64"/>
      </top>
      <bottom style="thin">
        <color rgb="FF000000"/>
      </bottom>
      <diagonal/>
    </border>
    <border>
      <left style="thin">
        <color rgb="FF000000"/>
      </left>
      <right style="thin">
        <color rgb="FF000000"/>
      </right>
      <top style="thick">
        <color indexed="64"/>
      </top>
      <bottom style="thin">
        <color rgb="FF000000"/>
      </bottom>
      <diagonal/>
    </border>
    <border>
      <left style="thick">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ck">
        <color indexed="64"/>
      </bottom>
      <diagonal/>
    </border>
    <border>
      <left style="thick">
        <color theme="1"/>
      </left>
      <right style="thin">
        <color indexed="64"/>
      </right>
      <top style="thick">
        <color theme="1"/>
      </top>
      <bottom style="thin">
        <color theme="1"/>
      </bottom>
      <diagonal/>
    </border>
    <border>
      <left style="thin">
        <color indexed="64"/>
      </left>
      <right style="thick">
        <color theme="1"/>
      </right>
      <top style="thick">
        <color theme="1"/>
      </top>
      <bottom style="thin">
        <color theme="1"/>
      </bottom>
      <diagonal/>
    </border>
    <border>
      <left style="thick">
        <color theme="1"/>
      </left>
      <right style="thin">
        <color indexed="64"/>
      </right>
      <top style="thin">
        <color theme="1"/>
      </top>
      <bottom style="thick">
        <color theme="1"/>
      </bottom>
      <diagonal/>
    </border>
    <border>
      <left style="thin">
        <color indexed="64"/>
      </left>
      <right style="thick">
        <color theme="1"/>
      </right>
      <top style="thin">
        <color theme="1"/>
      </top>
      <bottom style="thick">
        <color theme="1"/>
      </bottom>
      <diagonal/>
    </border>
    <border>
      <left style="thick">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right/>
      <top style="thick">
        <color theme="1"/>
      </top>
      <bottom style="thin">
        <color theme="1"/>
      </bottom>
      <diagonal/>
    </border>
    <border>
      <left/>
      <right/>
      <top style="thin">
        <color theme="1"/>
      </top>
      <bottom style="thick">
        <color theme="1"/>
      </bottom>
      <diagonal/>
    </border>
    <border>
      <left style="thin">
        <color rgb="FF000000"/>
      </left>
      <right/>
      <top style="thick">
        <color indexed="64"/>
      </top>
      <bottom style="thin">
        <color rgb="FF000000"/>
      </bottom>
      <diagonal/>
    </border>
    <border>
      <left style="thin">
        <color rgb="FF000000"/>
      </left>
      <right/>
      <top style="thin">
        <color rgb="FF000000"/>
      </top>
      <bottom style="medium">
        <color indexed="64"/>
      </bottom>
      <diagonal/>
    </border>
    <border>
      <left style="thin">
        <color indexed="64"/>
      </left>
      <right style="thick">
        <color indexed="64"/>
      </right>
      <top style="thick">
        <color indexed="64"/>
      </top>
      <bottom style="thin">
        <color rgb="FF000000"/>
      </bottom>
      <diagonal/>
    </border>
    <border>
      <left style="thin">
        <color indexed="64"/>
      </left>
      <right style="thick">
        <color indexed="64"/>
      </right>
      <top style="thin">
        <color rgb="FF000000"/>
      </top>
      <bottom style="thin">
        <color rgb="FF000000"/>
      </bottom>
      <diagonal/>
    </border>
    <border>
      <left style="thin">
        <color indexed="64"/>
      </left>
      <right style="thick">
        <color indexed="64"/>
      </right>
      <top style="thin">
        <color rgb="FF000000"/>
      </top>
      <bottom style="medium">
        <color indexed="64"/>
      </bottom>
      <diagonal/>
    </border>
  </borders>
  <cellStyleXfs count="3">
    <xf numFmtId="0" fontId="0" fillId="0" borderId="0">
      <alignment vertical="center"/>
    </xf>
    <xf numFmtId="0" fontId="1" fillId="0" borderId="0"/>
    <xf numFmtId="38" fontId="3" fillId="0" borderId="0" applyFont="0" applyFill="0" applyBorder="0" applyAlignment="0" applyProtection="0">
      <alignment vertical="center"/>
    </xf>
  </cellStyleXfs>
  <cellXfs count="59">
    <xf numFmtId="0" fontId="0" fillId="0" borderId="0" xfId="0">
      <alignment vertical="center"/>
    </xf>
    <xf numFmtId="0" fontId="4" fillId="0" borderId="11" xfId="1" applyFont="1" applyBorder="1" applyAlignment="1" applyProtection="1">
      <alignment horizontal="center" vertical="center"/>
      <protection locked="0"/>
    </xf>
    <xf numFmtId="0" fontId="4" fillId="0" borderId="13" xfId="1" applyFont="1" applyBorder="1" applyAlignment="1" applyProtection="1">
      <alignment horizontal="center" vertical="center"/>
      <protection locked="0"/>
    </xf>
    <xf numFmtId="0" fontId="6" fillId="0" borderId="0" xfId="1" applyFont="1" applyAlignment="1" applyProtection="1">
      <alignment horizontal="center" vertical="center"/>
      <protection locked="0"/>
    </xf>
    <xf numFmtId="38" fontId="6" fillId="0" borderId="0" xfId="2" applyFont="1" applyFill="1" applyBorder="1" applyAlignment="1" applyProtection="1">
      <alignment horizontal="center" vertical="center"/>
      <protection locked="0"/>
    </xf>
    <xf numFmtId="0" fontId="4" fillId="0" borderId="0" xfId="1" applyFont="1" applyAlignment="1">
      <alignment horizontal="center" vertical="center"/>
    </xf>
    <xf numFmtId="0" fontId="4" fillId="0" borderId="0" xfId="1" applyFont="1" applyAlignment="1">
      <alignment vertical="center"/>
    </xf>
    <xf numFmtId="0" fontId="6" fillId="0" borderId="0" xfId="1" applyFont="1" applyAlignment="1">
      <alignment horizontal="center" vertical="center"/>
    </xf>
    <xf numFmtId="0" fontId="4" fillId="0" borderId="0" xfId="0" applyFont="1">
      <alignment vertical="center"/>
    </xf>
    <xf numFmtId="0" fontId="8" fillId="0" borderId="0" xfId="1" applyFont="1" applyAlignment="1">
      <alignment horizontal="center" vertical="center"/>
    </xf>
    <xf numFmtId="0" fontId="6" fillId="0" borderId="0" xfId="1" applyFont="1" applyAlignment="1">
      <alignment vertical="center"/>
    </xf>
    <xf numFmtId="0" fontId="5" fillId="0" borderId="0" xfId="1" applyFont="1" applyAlignment="1">
      <alignment horizontal="center" vertical="center"/>
    </xf>
    <xf numFmtId="0" fontId="8" fillId="0" borderId="0" xfId="1" applyFont="1" applyAlignment="1">
      <alignment horizontal="centerContinuous" vertical="center"/>
    </xf>
    <xf numFmtId="0" fontId="5" fillId="2" borderId="4" xfId="1" applyFont="1" applyFill="1" applyBorder="1" applyAlignment="1">
      <alignment horizontal="center" vertical="center"/>
    </xf>
    <xf numFmtId="0" fontId="7" fillId="6" borderId="5" xfId="1" applyFont="1" applyFill="1" applyBorder="1" applyAlignment="1">
      <alignment horizontal="center" vertical="center"/>
    </xf>
    <xf numFmtId="0" fontId="7" fillId="2" borderId="4" xfId="1" applyFont="1" applyFill="1" applyBorder="1" applyAlignment="1">
      <alignment horizontal="center" vertical="center"/>
    </xf>
    <xf numFmtId="0" fontId="7" fillId="2" borderId="10" xfId="1" applyFont="1" applyFill="1" applyBorder="1" applyAlignment="1">
      <alignment horizontal="center" vertical="center"/>
    </xf>
    <xf numFmtId="38" fontId="7" fillId="4" borderId="10" xfId="2" applyFont="1" applyFill="1" applyBorder="1" applyAlignment="1" applyProtection="1">
      <alignment horizontal="center" vertical="center"/>
    </xf>
    <xf numFmtId="0" fontId="4" fillId="5" borderId="14" xfId="1" applyFont="1" applyFill="1" applyBorder="1" applyAlignment="1">
      <alignment horizontal="center" vertical="center"/>
    </xf>
    <xf numFmtId="14" fontId="7" fillId="2" borderId="5" xfId="1" applyNumberFormat="1" applyFont="1" applyFill="1" applyBorder="1" applyAlignment="1">
      <alignment horizontal="center" vertical="center"/>
    </xf>
    <xf numFmtId="0" fontId="4" fillId="2" borderId="8" xfId="1" applyFont="1" applyFill="1" applyBorder="1" applyAlignment="1">
      <alignment horizontal="center" vertical="center"/>
    </xf>
    <xf numFmtId="0" fontId="4" fillId="0" borderId="5" xfId="1" applyFont="1" applyBorder="1" applyAlignment="1">
      <alignment horizontal="center" vertical="center"/>
    </xf>
    <xf numFmtId="0" fontId="9" fillId="0" borderId="5" xfId="1" applyFont="1" applyBorder="1" applyAlignment="1">
      <alignment horizontal="center" vertical="center"/>
    </xf>
    <xf numFmtId="38" fontId="4" fillId="0" borderId="12" xfId="2" applyFont="1" applyFill="1" applyBorder="1" applyAlignment="1" applyProtection="1">
      <alignment horizontal="center" vertical="center"/>
      <protection locked="0"/>
    </xf>
    <xf numFmtId="38" fontId="4" fillId="0" borderId="4" xfId="2" applyFont="1" applyFill="1" applyBorder="1" applyAlignment="1" applyProtection="1">
      <alignment horizontal="center" vertical="center"/>
      <protection locked="0"/>
    </xf>
    <xf numFmtId="14" fontId="10" fillId="7" borderId="0" xfId="0" applyNumberFormat="1" applyFont="1" applyFill="1" applyAlignment="1">
      <alignment horizontal="center" vertical="center"/>
    </xf>
    <xf numFmtId="0" fontId="11" fillId="7" borderId="0" xfId="0" applyFont="1" applyFill="1" applyAlignment="1">
      <alignment horizontal="center" vertical="center"/>
    </xf>
    <xf numFmtId="14" fontId="0" fillId="0" borderId="0" xfId="0" applyNumberFormat="1">
      <alignment vertical="center"/>
    </xf>
    <xf numFmtId="0" fontId="5" fillId="2" borderId="4" xfId="1" applyFont="1" applyFill="1" applyBorder="1" applyAlignment="1">
      <alignment horizontal="center" vertical="center" wrapText="1"/>
    </xf>
    <xf numFmtId="0" fontId="12" fillId="0" borderId="0" xfId="1" applyFont="1" applyAlignment="1">
      <alignment horizontal="right"/>
    </xf>
    <xf numFmtId="38" fontId="4" fillId="0" borderId="20" xfId="2" applyFont="1" applyFill="1" applyBorder="1" applyAlignment="1" applyProtection="1">
      <alignment horizontal="center" vertical="center"/>
      <protection locked="0"/>
    </xf>
    <xf numFmtId="0" fontId="7" fillId="6" borderId="5" xfId="1" applyFont="1" applyFill="1" applyBorder="1" applyAlignment="1">
      <alignment horizontal="center" vertical="center"/>
    </xf>
    <xf numFmtId="14" fontId="4" fillId="0" borderId="19" xfId="1" applyNumberFormat="1" applyFont="1" applyBorder="1" applyAlignment="1" applyProtection="1">
      <alignment horizontal="center" vertical="center"/>
      <protection locked="0"/>
    </xf>
    <xf numFmtId="0" fontId="4" fillId="0" borderId="23" xfId="1" applyFont="1" applyBorder="1" applyAlignment="1" applyProtection="1">
      <alignment horizontal="center" vertical="center"/>
      <protection locked="0"/>
    </xf>
    <xf numFmtId="0" fontId="4" fillId="0" borderId="8" xfId="1" applyFont="1" applyBorder="1" applyAlignment="1" applyProtection="1">
      <alignment horizontal="center" vertical="center"/>
      <protection locked="0"/>
    </xf>
    <xf numFmtId="0" fontId="4" fillId="0" borderId="24" xfId="1" applyFont="1" applyBorder="1" applyAlignment="1" applyProtection="1">
      <alignment horizontal="center" vertical="center"/>
      <protection locked="0"/>
    </xf>
    <xf numFmtId="0" fontId="4" fillId="0" borderId="25" xfId="1" applyFont="1" applyBorder="1" applyAlignment="1" applyProtection="1">
      <alignment horizontal="center" vertical="center"/>
      <protection locked="0"/>
    </xf>
    <xf numFmtId="0" fontId="4" fillId="0" borderId="26" xfId="1" applyFont="1" applyBorder="1" applyAlignment="1" applyProtection="1">
      <alignment horizontal="center" vertical="center"/>
      <protection locked="0"/>
    </xf>
    <xf numFmtId="0" fontId="4" fillId="0" borderId="27" xfId="1" applyFont="1" applyBorder="1" applyAlignment="1" applyProtection="1">
      <alignment horizontal="center" vertical="center"/>
      <protection locked="0"/>
    </xf>
    <xf numFmtId="0" fontId="13" fillId="0" borderId="0" xfId="0" applyFont="1">
      <alignment vertical="center"/>
    </xf>
    <xf numFmtId="0" fontId="13" fillId="0" borderId="0" xfId="0" applyFont="1" applyAlignment="1">
      <alignment horizontal="center" vertical="center"/>
    </xf>
    <xf numFmtId="0" fontId="7" fillId="6" borderId="5" xfId="1" applyFont="1" applyFill="1" applyBorder="1" applyAlignment="1">
      <alignment horizontal="center" vertical="center"/>
    </xf>
    <xf numFmtId="0" fontId="5" fillId="3" borderId="5" xfId="1" applyFont="1" applyFill="1" applyBorder="1" applyAlignment="1">
      <alignment horizontal="center" vertical="center"/>
    </xf>
    <xf numFmtId="0" fontId="5" fillId="2" borderId="1" xfId="1" applyFont="1" applyFill="1" applyBorder="1" applyAlignment="1">
      <alignment horizontal="center" vertical="center"/>
    </xf>
    <xf numFmtId="0" fontId="5" fillId="2" borderId="2" xfId="1" applyFont="1" applyFill="1" applyBorder="1" applyAlignment="1">
      <alignment horizontal="center" vertical="center"/>
    </xf>
    <xf numFmtId="0" fontId="5" fillId="2" borderId="3" xfId="1" applyFont="1" applyFill="1" applyBorder="1" applyAlignment="1">
      <alignment horizontal="center" vertical="center"/>
    </xf>
    <xf numFmtId="0" fontId="5" fillId="2" borderId="6" xfId="1" applyFont="1" applyFill="1" applyBorder="1" applyAlignment="1">
      <alignment horizontal="center" vertical="center" wrapText="1"/>
    </xf>
    <xf numFmtId="0" fontId="5" fillId="2" borderId="9" xfId="1" applyFont="1" applyFill="1" applyBorder="1" applyAlignment="1">
      <alignment horizontal="center" vertical="center"/>
    </xf>
    <xf numFmtId="0" fontId="4" fillId="0" borderId="15" xfId="1" applyFont="1" applyBorder="1" applyAlignment="1" applyProtection="1">
      <alignment horizontal="center" vertical="center"/>
      <protection locked="0"/>
    </xf>
    <xf numFmtId="0" fontId="4" fillId="0" borderId="21" xfId="1" applyFont="1" applyBorder="1" applyAlignment="1" applyProtection="1">
      <alignment horizontal="center" vertical="center"/>
      <protection locked="0"/>
    </xf>
    <xf numFmtId="0" fontId="4" fillId="0" borderId="16" xfId="1" applyFont="1" applyBorder="1" applyAlignment="1" applyProtection="1">
      <alignment horizontal="center" vertical="center"/>
      <protection locked="0"/>
    </xf>
    <xf numFmtId="0" fontId="5" fillId="2" borderId="5" xfId="1" applyFont="1" applyFill="1" applyBorder="1" applyAlignment="1">
      <alignment horizontal="center" vertical="center"/>
    </xf>
    <xf numFmtId="0" fontId="6" fillId="0" borderId="6" xfId="1" applyFont="1" applyBorder="1" applyAlignment="1">
      <alignment vertical="center"/>
    </xf>
    <xf numFmtId="38" fontId="4" fillId="0" borderId="17" xfId="2" applyFont="1" applyFill="1" applyBorder="1" applyAlignment="1" applyProtection="1">
      <alignment horizontal="center" vertical="center"/>
      <protection locked="0"/>
    </xf>
    <xf numFmtId="38" fontId="4" fillId="0" borderId="22" xfId="2" applyFont="1" applyFill="1" applyBorder="1" applyAlignment="1" applyProtection="1">
      <alignment horizontal="center" vertical="center"/>
      <protection locked="0"/>
    </xf>
    <xf numFmtId="38" fontId="4" fillId="0" borderId="18" xfId="2" applyFont="1" applyFill="1" applyBorder="1" applyAlignment="1" applyProtection="1">
      <alignment horizontal="center" vertical="center"/>
      <protection locked="0"/>
    </xf>
    <xf numFmtId="0" fontId="5" fillId="3" borderId="6" xfId="1" applyFont="1" applyFill="1" applyBorder="1" applyAlignment="1">
      <alignment horizontal="center" vertical="center"/>
    </xf>
    <xf numFmtId="0" fontId="5" fillId="3" borderId="9" xfId="1" applyFont="1" applyFill="1" applyBorder="1" applyAlignment="1">
      <alignment horizontal="center" vertical="center"/>
    </xf>
    <xf numFmtId="0" fontId="5" fillId="3" borderId="7" xfId="1" applyFont="1" applyFill="1" applyBorder="1" applyAlignment="1">
      <alignment horizontal="center" vertical="center"/>
    </xf>
  </cellXfs>
  <cellStyles count="3">
    <cellStyle name="桁区切り" xfId="2" builtinId="6"/>
    <cellStyle name="標準" xfId="0" builtinId="0"/>
    <cellStyle name="標準 2 2" xfId="1" xr:uid="{00000000-0005-0000-0000-000002000000}"/>
  </cellStyles>
  <dxfs count="13">
    <dxf>
      <fill>
        <patternFill>
          <bgColor rgb="FFFF5050"/>
        </patternFill>
      </fill>
    </dxf>
    <dxf>
      <font>
        <b/>
        <i val="0"/>
        <color rgb="FFFF0000"/>
      </font>
      <fill>
        <patternFill>
          <bgColor rgb="FFFFFF00"/>
        </patternFill>
      </fill>
    </dxf>
    <dxf>
      <fill>
        <patternFill>
          <bgColor rgb="FFFF5050"/>
        </patternFill>
      </fill>
    </dxf>
    <dxf>
      <font>
        <b/>
        <i val="0"/>
        <color rgb="FFFF0000"/>
      </font>
    </dxf>
    <dxf>
      <font>
        <b/>
        <i val="0"/>
        <color rgb="FFFF0000"/>
      </font>
      <fill>
        <patternFill>
          <bgColor rgb="FFFFFF00"/>
        </patternFill>
      </fill>
    </dxf>
    <dxf>
      <fill>
        <patternFill>
          <bgColor theme="7" tint="0.79998168889431442"/>
        </patternFill>
      </fill>
    </dxf>
    <dxf>
      <font>
        <b/>
        <i val="0"/>
        <color rgb="FFFF0000"/>
      </font>
      <fill>
        <patternFill>
          <bgColor rgb="FFFFFF00"/>
        </patternFill>
      </fill>
    </dxf>
    <dxf>
      <font>
        <b/>
        <i val="0"/>
        <color auto="1"/>
      </font>
      <fill>
        <patternFill>
          <bgColor rgb="FFFF5050"/>
        </patternFill>
      </fill>
    </dxf>
    <dxf>
      <font>
        <b/>
        <i val="0"/>
        <color rgb="FFFF0000"/>
      </font>
      <fill>
        <patternFill>
          <bgColor rgb="FFFFFF00"/>
        </patternFill>
      </fill>
    </dxf>
    <dxf>
      <font>
        <b/>
        <i val="0"/>
        <color rgb="FFFF0000"/>
      </font>
    </dxf>
    <dxf>
      <fill>
        <patternFill>
          <bgColor theme="7" tint="0.79998168889431442"/>
        </patternFill>
      </fill>
    </dxf>
    <dxf>
      <font>
        <b/>
        <i val="0"/>
        <color rgb="FFFF0000"/>
      </font>
      <fill>
        <patternFill>
          <bgColor rgb="FFFFFF00"/>
        </patternFill>
      </fill>
    </dxf>
    <dxf>
      <fill>
        <patternFill>
          <bgColor theme="7" tint="0.79998168889431442"/>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8</xdr:col>
      <xdr:colOff>599548</xdr:colOff>
      <xdr:row>10</xdr:row>
      <xdr:rowOff>195864</xdr:rowOff>
    </xdr:from>
    <xdr:to>
      <xdr:col>8</xdr:col>
      <xdr:colOff>8363292</xdr:colOff>
      <xdr:row>51</xdr:row>
      <xdr:rowOff>47624</xdr:rowOff>
    </xdr:to>
    <xdr:sp macro="" textlink="">
      <xdr:nvSpPr>
        <xdr:cNvPr id="6" name="正方形/長方形 5">
          <a:extLst>
            <a:ext uri="{FF2B5EF4-FFF2-40B4-BE49-F238E27FC236}">
              <a16:creationId xmlns:a16="http://schemas.microsoft.com/office/drawing/2014/main" id="{00000000-0008-0000-0100-000006000000}"/>
            </a:ext>
          </a:extLst>
        </xdr:cNvPr>
        <xdr:cNvSpPr/>
      </xdr:nvSpPr>
      <xdr:spPr>
        <a:xfrm>
          <a:off x="10707954" y="2446145"/>
          <a:ext cx="7763744" cy="9579167"/>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＜前提条件＞</a:t>
          </a:r>
        </a:p>
        <a:p>
          <a:pPr algn="l"/>
          <a:r>
            <a:rPr kumimoji="1" lang="ja-JP" altLang="en-US" sz="1100">
              <a:solidFill>
                <a:sysClr val="windowText" lastClr="000000"/>
              </a:solidFill>
            </a:rPr>
            <a:t>・株主、出資者の情報を集計します。</a:t>
          </a:r>
        </a:p>
        <a:p>
          <a:pPr lvl="1" algn="l"/>
          <a:r>
            <a:rPr kumimoji="1" lang="en-US" altLang="ja-JP" sz="1100" b="1">
              <a:solidFill>
                <a:srgbClr val="FF0000"/>
              </a:solidFill>
            </a:rPr>
            <a:t>※</a:t>
          </a:r>
          <a:r>
            <a:rPr kumimoji="1" lang="ja-JP" altLang="en-US" sz="1100" b="1">
              <a:solidFill>
                <a:srgbClr val="FF0000"/>
              </a:solidFill>
            </a:rPr>
            <a:t>個人事業主の方はこちらのファイルの提出は不要です。</a:t>
          </a:r>
        </a:p>
        <a:p>
          <a:pPr algn="l"/>
          <a:endParaRPr kumimoji="1" lang="ja-JP" altLang="en-US" sz="1100">
            <a:solidFill>
              <a:sysClr val="windowText" lastClr="000000"/>
            </a:solidFill>
          </a:endParaRPr>
        </a:p>
        <a:p>
          <a:pPr algn="l"/>
          <a:r>
            <a:rPr kumimoji="1" lang="ja-JP" altLang="en-US" sz="1100">
              <a:solidFill>
                <a:sysClr val="windowText" lastClr="000000"/>
              </a:solidFill>
            </a:rPr>
            <a:t>＜記載方法＞</a:t>
          </a:r>
        </a:p>
        <a:p>
          <a:pPr algn="l"/>
          <a:r>
            <a:rPr kumimoji="1" lang="ja-JP" altLang="en-US" sz="1100">
              <a:solidFill>
                <a:sysClr val="windowText" lastClr="000000"/>
              </a:solidFill>
            </a:rPr>
            <a:t>下記、１～５に従って必要事項を記載いただき、提出を行ってください。</a:t>
          </a:r>
        </a:p>
        <a:p>
          <a:pPr algn="l"/>
          <a:r>
            <a:rPr kumimoji="1" lang="ja-JP" altLang="en-US" sz="1100">
              <a:solidFill>
                <a:sysClr val="windowText" lastClr="000000"/>
              </a:solidFill>
            </a:rPr>
            <a:t>１</a:t>
          </a:r>
          <a:r>
            <a:rPr kumimoji="1" lang="en-US" altLang="ja-JP" sz="1100">
              <a:solidFill>
                <a:sysClr val="windowText" lastClr="000000"/>
              </a:solidFill>
            </a:rPr>
            <a:t>.</a:t>
          </a:r>
          <a:r>
            <a:rPr kumimoji="1" lang="ja-JP" altLang="en-US" sz="1100">
              <a:solidFill>
                <a:sysClr val="windowText" lastClr="000000"/>
              </a:solidFill>
            </a:rPr>
            <a:t>申請する中小企業等の法人名、発行済の総株式数または出資価格総額を記載してください。</a:t>
          </a:r>
        </a:p>
        <a:p>
          <a:pPr algn="l"/>
          <a:r>
            <a:rPr kumimoji="1" lang="en-US" altLang="ja-JP" sz="1100" b="1">
              <a:solidFill>
                <a:srgbClr val="FF0000"/>
              </a:solidFill>
            </a:rPr>
            <a:t>※</a:t>
          </a:r>
          <a:r>
            <a:rPr kumimoji="1" lang="ja-JP" altLang="en-US" sz="1100" b="1">
              <a:solidFill>
                <a:srgbClr val="FF0000"/>
              </a:solidFill>
            </a:rPr>
            <a:t>「〇株」・「〇円」等の単位は不要です。漢数字ではなく算用数字のみで記載してください。</a:t>
          </a:r>
        </a:p>
        <a:p>
          <a:pPr algn="l"/>
          <a:endParaRPr kumimoji="1" lang="ja-JP" altLang="en-US" sz="1100">
            <a:solidFill>
              <a:sysClr val="windowText" lastClr="000000"/>
            </a:solidFill>
          </a:endParaRPr>
        </a:p>
        <a:p>
          <a:pPr algn="l"/>
          <a:r>
            <a:rPr kumimoji="1" lang="ja-JP" altLang="en-US" sz="1100">
              <a:solidFill>
                <a:sysClr val="windowText" lastClr="000000"/>
              </a:solidFill>
            </a:rPr>
            <a:t>２</a:t>
          </a:r>
          <a:r>
            <a:rPr kumimoji="1" lang="en-US" altLang="ja-JP" sz="1100">
              <a:solidFill>
                <a:sysClr val="windowText" lastClr="000000"/>
              </a:solidFill>
            </a:rPr>
            <a:t>.</a:t>
          </a:r>
          <a:r>
            <a:rPr kumimoji="1" lang="ja-JP" altLang="en-US" sz="1100">
              <a:solidFill>
                <a:sysClr val="windowText" lastClr="000000"/>
              </a:solidFill>
            </a:rPr>
            <a:t>１で株保有数の記載をした場合は株主名（株主名称）及び各株主の株保有数を記載してください。</a:t>
          </a:r>
        </a:p>
        <a:p>
          <a:pPr algn="l"/>
          <a:r>
            <a:rPr kumimoji="1" lang="ja-JP" altLang="en-US" sz="1100">
              <a:solidFill>
                <a:sysClr val="windowText" lastClr="000000"/>
              </a:solidFill>
            </a:rPr>
            <a:t>　出資価格を記載した場合は出資者名及び各出資者の出資価格を記載してください。</a:t>
          </a:r>
          <a:endParaRPr kumimoji="1" lang="en-US" altLang="ja-JP" sz="1100">
            <a:solidFill>
              <a:sysClr val="windowText" lastClr="000000"/>
            </a:solidFill>
          </a:endParaRPr>
        </a:p>
        <a:p>
          <a:pPr algn="l"/>
          <a:r>
            <a:rPr kumimoji="1" lang="ja-JP" altLang="en-US" sz="1100">
              <a:solidFill>
                <a:sysClr val="windowText" lastClr="000000"/>
              </a:solidFill>
            </a:rPr>
            <a:t>　株主・出資者が</a:t>
          </a:r>
          <a:r>
            <a:rPr kumimoji="1" lang="en-US" altLang="ja-JP" sz="1100">
              <a:solidFill>
                <a:sysClr val="windowText" lastClr="000000"/>
              </a:solidFill>
            </a:rPr>
            <a:t>21</a:t>
          </a:r>
          <a:r>
            <a:rPr kumimoji="1" lang="ja-JP" altLang="en-US" sz="1100">
              <a:solidFill>
                <a:sysClr val="windowText" lastClr="000000"/>
              </a:solidFill>
            </a:rPr>
            <a:t>名以上の場合は、株保有数・出資価格が多い方から順に記載してください。</a:t>
          </a:r>
        </a:p>
        <a:p>
          <a:pPr algn="l"/>
          <a:r>
            <a:rPr kumimoji="1" lang="en-US" altLang="ja-JP" sz="1100" b="1">
              <a:solidFill>
                <a:srgbClr val="FF0000"/>
              </a:solidFill>
            </a:rPr>
            <a:t>※</a:t>
          </a:r>
          <a:r>
            <a:rPr kumimoji="1" lang="ja-JP" altLang="en-US" sz="1100" b="1">
              <a:solidFill>
                <a:srgbClr val="FF0000"/>
              </a:solidFill>
            </a:rPr>
            <a:t>株主名（株主名称）及び各株主</a:t>
          </a:r>
          <a:r>
            <a:rPr kumimoji="1" lang="ja-JP" altLang="ja-JP" sz="1100" b="1">
              <a:solidFill>
                <a:srgbClr val="FF0000"/>
              </a:solidFill>
              <a:effectLst/>
              <a:latin typeface="+mn-lt"/>
              <a:ea typeface="+mn-ea"/>
              <a:cs typeface="+mn-cs"/>
            </a:rPr>
            <a:t>の株保有数</a:t>
          </a:r>
          <a:r>
            <a:rPr kumimoji="1" lang="ja-JP" altLang="en-US" sz="1100" b="1">
              <a:solidFill>
                <a:srgbClr val="FF0000"/>
              </a:solidFill>
            </a:rPr>
            <a:t>もしくは出資者名及び各出資者の出資価格のいずれかが</a:t>
          </a:r>
        </a:p>
        <a:p>
          <a:pPr algn="l"/>
          <a:r>
            <a:rPr kumimoji="1" lang="ja-JP" altLang="en-US" sz="1100" b="1">
              <a:solidFill>
                <a:srgbClr val="FF0000"/>
              </a:solidFill>
            </a:rPr>
            <a:t>　記載されていない場合、該当セルが赤色で表示されます。該当セルがあった場合は記載をしてください。</a:t>
          </a:r>
          <a:endParaRPr kumimoji="1" lang="en-US" altLang="ja-JP" sz="1100" b="1">
            <a:solidFill>
              <a:srgbClr val="FF0000"/>
            </a:solidFill>
          </a:endParaRPr>
        </a:p>
        <a:p>
          <a:pPr algn="l"/>
          <a:r>
            <a:rPr kumimoji="1" lang="en-US" altLang="ja-JP" sz="1100" b="1">
              <a:solidFill>
                <a:srgbClr val="FF0000"/>
              </a:solidFill>
            </a:rPr>
            <a:t>※</a:t>
          </a:r>
          <a:r>
            <a:rPr kumimoji="1" lang="ja-JP" altLang="en-US" sz="1100" b="1">
              <a:solidFill>
                <a:srgbClr val="FF0000"/>
              </a:solidFill>
            </a:rPr>
            <a:t>「〇株」・「〇円」等の単位は不要です。漢数字ではなく算用数字のみで記載をしてください。</a:t>
          </a:r>
        </a:p>
        <a:p>
          <a:pPr algn="l"/>
          <a:r>
            <a:rPr kumimoji="1" lang="en-US" altLang="ja-JP" sz="1100" b="1">
              <a:solidFill>
                <a:srgbClr val="FF0000"/>
              </a:solidFill>
            </a:rPr>
            <a:t>※</a:t>
          </a:r>
          <a:r>
            <a:rPr kumimoji="1" lang="ja-JP" altLang="en-US" sz="1100" b="1">
              <a:solidFill>
                <a:srgbClr val="FF0000"/>
              </a:solidFill>
            </a:rPr>
            <a:t>各株主・出資者の株保有数・出資価格が総株式数または出資価格総額を超えて入力することはできません。</a:t>
          </a:r>
        </a:p>
        <a:p>
          <a:pPr algn="l"/>
          <a:r>
            <a:rPr kumimoji="1" lang="en-US" altLang="ja-JP" sz="1100" b="1">
              <a:solidFill>
                <a:srgbClr val="FF0000"/>
              </a:solidFill>
            </a:rPr>
            <a:t>※</a:t>
          </a:r>
          <a:r>
            <a:rPr kumimoji="1" lang="ja-JP" altLang="en-US" sz="1100" b="1">
              <a:solidFill>
                <a:srgbClr val="FF0000"/>
              </a:solidFill>
            </a:rPr>
            <a:t>各株主・出資者の株保有数・出資価格の合計が総株式数または出資価格総額を超えると黄色で表示されます。</a:t>
          </a:r>
        </a:p>
        <a:p>
          <a:pPr algn="l"/>
          <a:endParaRPr kumimoji="1" lang="ja-JP" altLang="en-US" sz="1100">
            <a:solidFill>
              <a:sysClr val="windowText" lastClr="000000"/>
            </a:solidFill>
          </a:endParaRPr>
        </a:p>
        <a:p>
          <a:pPr algn="l"/>
          <a:r>
            <a:rPr kumimoji="1" lang="ja-JP" altLang="en-US" sz="1100">
              <a:solidFill>
                <a:sysClr val="windowText" lastClr="000000"/>
              </a:solidFill>
            </a:rPr>
            <a:t>３</a:t>
          </a:r>
          <a:r>
            <a:rPr kumimoji="1" lang="en-US" altLang="ja-JP" sz="1100">
              <a:solidFill>
                <a:sysClr val="windowText" lastClr="000000"/>
              </a:solidFill>
            </a:rPr>
            <a:t>.</a:t>
          </a:r>
          <a:r>
            <a:rPr kumimoji="1" lang="ja-JP" altLang="en-US" sz="1100">
              <a:solidFill>
                <a:sysClr val="windowText" lastClr="000000"/>
              </a:solidFill>
            </a:rPr>
            <a:t>大企業及び大企業に所属している株主、出資者がいる場合は</a:t>
          </a:r>
          <a:r>
            <a:rPr kumimoji="1" lang="en-US" altLang="ja-JP" sz="1100" b="0">
              <a:solidFill>
                <a:sysClr val="windowText" lastClr="000000"/>
              </a:solidFill>
            </a:rPr>
            <a:t>E</a:t>
          </a:r>
          <a:r>
            <a:rPr kumimoji="1" lang="ja-JP" altLang="en-US" sz="1100" b="0">
              <a:solidFill>
                <a:sysClr val="windowText" lastClr="000000"/>
              </a:solidFill>
            </a:rPr>
            <a:t>列のプルダウンで「✓」を選択してください。</a:t>
          </a:r>
          <a:endParaRPr kumimoji="1" lang="en-US" altLang="ja-JP" sz="1100" b="0">
            <a:solidFill>
              <a:sysClr val="windowText" lastClr="000000"/>
            </a:solidFill>
          </a:endParaRPr>
        </a:p>
        <a:p>
          <a:pPr algn="l"/>
          <a:endParaRPr kumimoji="1" lang="en-US" altLang="ja-JP" sz="1100">
            <a:solidFill>
              <a:sysClr val="windowText" lastClr="000000"/>
            </a:solidFill>
          </a:endParaRPr>
        </a:p>
        <a:p>
          <a:r>
            <a:rPr kumimoji="1" lang="ja-JP" altLang="en-US" sz="1100">
              <a:solidFill>
                <a:sysClr val="windowText" lastClr="000000"/>
              </a:solidFill>
              <a:effectLst/>
              <a:latin typeface="+mn-lt"/>
              <a:ea typeface="+mn-ea"/>
              <a:cs typeface="+mn-cs"/>
            </a:rPr>
            <a:t>４</a:t>
          </a:r>
          <a:r>
            <a:rPr kumimoji="1" lang="en-US"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別記１に該当する中小企業者</a:t>
          </a:r>
          <a:r>
            <a:rPr kumimoji="1" lang="ja-JP" altLang="ja-JP" sz="1100">
              <a:solidFill>
                <a:sysClr val="windowText" lastClr="000000"/>
              </a:solidFill>
              <a:effectLst/>
              <a:latin typeface="+mn-lt"/>
              <a:ea typeface="+mn-ea"/>
              <a:cs typeface="+mn-cs"/>
            </a:rPr>
            <a:t>がいる場合は</a:t>
          </a:r>
          <a:r>
            <a:rPr kumimoji="1" lang="en-US" altLang="ja-JP" sz="1100" b="0">
              <a:solidFill>
                <a:sysClr val="windowText" lastClr="000000"/>
              </a:solidFill>
              <a:effectLst/>
              <a:latin typeface="+mn-lt"/>
              <a:ea typeface="+mn-ea"/>
              <a:cs typeface="+mn-cs"/>
            </a:rPr>
            <a:t>F</a:t>
          </a:r>
          <a:r>
            <a:rPr kumimoji="1" lang="ja-JP" altLang="en-US" sz="1100" b="0">
              <a:solidFill>
                <a:sysClr val="windowText" lastClr="000000"/>
              </a:solidFill>
              <a:effectLst/>
              <a:latin typeface="+mn-lt"/>
              <a:ea typeface="+mn-ea"/>
              <a:cs typeface="+mn-cs"/>
            </a:rPr>
            <a:t>列のプルダウンで</a:t>
          </a:r>
          <a:r>
            <a:rPr kumimoji="1" lang="ja-JP" altLang="ja-JP" sz="1100" b="0">
              <a:solidFill>
                <a:sysClr val="windowText" lastClr="000000"/>
              </a:solidFill>
              <a:effectLst/>
              <a:latin typeface="+mn-lt"/>
              <a:ea typeface="+mn-ea"/>
              <a:cs typeface="+mn-cs"/>
            </a:rPr>
            <a:t>「✓」を</a:t>
          </a:r>
          <a:r>
            <a:rPr kumimoji="1" lang="ja-JP" altLang="en-US" sz="1100" b="0">
              <a:solidFill>
                <a:sysClr val="windowText" lastClr="000000"/>
              </a:solidFill>
              <a:effectLst/>
              <a:latin typeface="+mn-lt"/>
              <a:ea typeface="+mn-ea"/>
              <a:cs typeface="+mn-cs"/>
            </a:rPr>
            <a:t>選択してください</a:t>
          </a:r>
          <a:r>
            <a:rPr kumimoji="1" lang="ja-JP" altLang="ja-JP" sz="1100" b="1">
              <a:solidFill>
                <a:srgbClr val="0070C0"/>
              </a:solidFill>
              <a:effectLst/>
              <a:latin typeface="+mn-lt"/>
              <a:ea typeface="+mn-ea"/>
              <a:cs typeface="+mn-cs"/>
            </a:rPr>
            <a:t>。</a:t>
          </a:r>
          <a:endParaRPr lang="ja-JP" altLang="ja-JP" b="1">
            <a:solidFill>
              <a:srgbClr val="0070C0"/>
            </a:solidFill>
            <a:effectLst/>
          </a:endParaRPr>
        </a:p>
        <a:p>
          <a:pPr algn="l"/>
          <a:endParaRPr kumimoji="1" lang="ja-JP" altLang="en-US" sz="1100">
            <a:solidFill>
              <a:sysClr val="windowText" lastClr="000000"/>
            </a:solidFill>
          </a:endParaRPr>
        </a:p>
        <a:p>
          <a:pPr algn="l"/>
          <a:r>
            <a:rPr kumimoji="1" lang="ja-JP" altLang="en-US" sz="1100">
              <a:solidFill>
                <a:sysClr val="windowText" lastClr="000000"/>
              </a:solidFill>
            </a:rPr>
            <a:t>５</a:t>
          </a:r>
          <a:r>
            <a:rPr kumimoji="1" lang="en-US" altLang="ja-JP" sz="1100">
              <a:solidFill>
                <a:sysClr val="windowText" lastClr="000000"/>
              </a:solidFill>
            </a:rPr>
            <a:t>.</a:t>
          </a:r>
          <a:r>
            <a:rPr kumimoji="1" lang="ja-JP" altLang="en-US" sz="1100">
              <a:solidFill>
                <a:sysClr val="windowText" lastClr="000000"/>
              </a:solidFill>
            </a:rPr>
            <a:t>太線黒枠内の入力項目において記載漏れがないことを確認し、交付申請システムに添付して提出してください。</a:t>
          </a:r>
          <a:endParaRPr kumimoji="1" lang="en-US" altLang="ja-JP" sz="1100">
            <a:solidFill>
              <a:sysClr val="windowText" lastClr="000000"/>
            </a:solidFill>
          </a:endParaRPr>
        </a:p>
        <a:p>
          <a:pPr algn="l"/>
          <a:r>
            <a:rPr kumimoji="1" lang="en-US" altLang="ja-JP" sz="1100" b="1">
              <a:solidFill>
                <a:srgbClr val="FF0000"/>
              </a:solidFill>
            </a:rPr>
            <a:t>※</a:t>
          </a:r>
          <a:r>
            <a:rPr kumimoji="1" lang="ja-JP" altLang="en-US" sz="1100" b="1">
              <a:solidFill>
                <a:srgbClr val="FF0000"/>
              </a:solidFill>
            </a:rPr>
            <a:t>記載していただいた内容にエラーがあった場合は、該当行が黄色で表示されます。</a:t>
          </a:r>
        </a:p>
        <a:p>
          <a:pPr algn="l"/>
          <a:r>
            <a:rPr kumimoji="1" lang="ja-JP" altLang="en-US" sz="1100" b="1">
              <a:solidFill>
                <a:srgbClr val="FF0000"/>
              </a:solidFill>
            </a:rPr>
            <a:t>　黄色で表示された場合は、内容を確認して頂き修正をお願いします。</a:t>
          </a:r>
        </a:p>
        <a:p>
          <a:pPr algn="l"/>
          <a:r>
            <a:rPr kumimoji="1" lang="ja-JP" altLang="en-US" sz="1100" b="1">
              <a:solidFill>
                <a:srgbClr val="FF0000"/>
              </a:solidFill>
            </a:rPr>
            <a:t>　◆エラー例</a:t>
          </a:r>
        </a:p>
        <a:p>
          <a:pPr algn="l"/>
          <a:r>
            <a:rPr kumimoji="1" lang="ja-JP" altLang="en-US" sz="1100" b="1">
              <a:solidFill>
                <a:srgbClr val="FF0000"/>
              </a:solidFill>
            </a:rPr>
            <a:t>　・株保有数、出資価格の記載欄に数字以外が記載されている場合</a:t>
          </a:r>
          <a:endParaRPr kumimoji="1" lang="en-US" altLang="ja-JP" sz="1100" b="1">
            <a:solidFill>
              <a:srgbClr val="FF0000"/>
            </a:solidFill>
          </a:endParaRPr>
        </a:p>
        <a:p>
          <a:pPr algn="l"/>
          <a:endParaRPr kumimoji="1" lang="ja-JP" altLang="en-US" sz="1100">
            <a:solidFill>
              <a:sysClr val="windowText" lastClr="000000"/>
            </a:solidFill>
          </a:endParaRPr>
        </a:p>
        <a:p>
          <a:pPr algn="l"/>
          <a:r>
            <a:rPr kumimoji="1" lang="ja-JP" altLang="en-US" sz="1100">
              <a:solidFill>
                <a:sysClr val="windowText" lastClr="000000"/>
              </a:solidFill>
            </a:rPr>
            <a:t>＜事務局判断事項＞</a:t>
          </a:r>
        </a:p>
        <a:p>
          <a:pPr algn="l"/>
          <a:r>
            <a:rPr kumimoji="1" lang="ja-JP" altLang="en-US" sz="1100">
              <a:solidFill>
                <a:sysClr val="windowText" lastClr="000000"/>
              </a:solidFill>
            </a:rPr>
            <a:t>下記、</a:t>
          </a:r>
          <a:r>
            <a:rPr kumimoji="1" lang="en-US" altLang="ja-JP" sz="1100">
              <a:solidFill>
                <a:sysClr val="windowText" lastClr="000000"/>
              </a:solidFill>
              <a:latin typeface="+mn-ea"/>
              <a:ea typeface="+mn-ea"/>
            </a:rPr>
            <a:t>Ⅰ</a:t>
          </a:r>
          <a:r>
            <a:rPr kumimoji="1" lang="ja-JP" altLang="en-US" sz="1100">
              <a:solidFill>
                <a:sysClr val="windowText" lastClr="000000"/>
              </a:solidFill>
              <a:latin typeface="+mn-ea"/>
              <a:ea typeface="+mn-ea"/>
            </a:rPr>
            <a:t>～</a:t>
          </a:r>
          <a:r>
            <a:rPr kumimoji="1" lang="en-US" altLang="ja-JP" sz="1100">
              <a:solidFill>
                <a:sysClr val="windowText" lastClr="000000"/>
              </a:solidFill>
              <a:latin typeface="+mn-ea"/>
              <a:ea typeface="+mn-ea"/>
            </a:rPr>
            <a:t>Ⅲ</a:t>
          </a:r>
          <a:r>
            <a:rPr kumimoji="1" lang="ja-JP" altLang="en-US" sz="1100">
              <a:solidFill>
                <a:sysClr val="windowText" lastClr="000000"/>
              </a:solidFill>
            </a:rPr>
            <a:t>について確認します。</a:t>
          </a:r>
        </a:p>
        <a:p>
          <a:pPr algn="l"/>
          <a:r>
            <a:rPr kumimoji="1" lang="ja-JP" altLang="en-US" sz="1100">
              <a:solidFill>
                <a:sysClr val="windowText" lastClr="000000"/>
              </a:solidFill>
            </a:rPr>
            <a:t>いずれかがみなし大企業に該当すると判定された場合は、本事業の対象となりません。</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a:solidFill>
                <a:srgbClr val="FF0000"/>
              </a:solidFill>
              <a:effectLst/>
              <a:latin typeface="+mn-lt"/>
              <a:ea typeface="+mn-ea"/>
              <a:cs typeface="+mn-cs"/>
            </a:rPr>
            <a:t>※</a:t>
          </a:r>
          <a:r>
            <a:rPr kumimoji="1" lang="ja-JP" altLang="ja-JP" sz="1100" b="1">
              <a:solidFill>
                <a:srgbClr val="FF0000"/>
              </a:solidFill>
              <a:effectLst/>
              <a:latin typeface="+mn-lt"/>
              <a:ea typeface="+mn-ea"/>
              <a:cs typeface="+mn-cs"/>
            </a:rPr>
            <a:t>公募要領　</a:t>
          </a:r>
          <a:r>
            <a:rPr kumimoji="1" lang="ja-JP" altLang="en-US" sz="1100" b="1">
              <a:solidFill>
                <a:srgbClr val="FF0000"/>
              </a:solidFill>
              <a:effectLst/>
              <a:latin typeface="+mn-lt"/>
              <a:ea typeface="+mn-ea"/>
              <a:cs typeface="+mn-cs"/>
            </a:rPr>
            <a:t>２－２．補助対象外となる事業者</a:t>
          </a:r>
          <a:r>
            <a:rPr kumimoji="1" lang="ja-JP" altLang="ja-JP" sz="1100" b="1">
              <a:solidFill>
                <a:schemeClr val="lt1"/>
              </a:solidFill>
              <a:effectLst/>
              <a:latin typeface="+mn-lt"/>
              <a:ea typeface="+mn-ea"/>
              <a:cs typeface="+mn-cs"/>
            </a:rPr>
            <a:t>照</a:t>
          </a:r>
          <a:endParaRPr lang="ja-JP" altLang="ja-JP">
            <a:effectLst/>
          </a:endParaRPr>
        </a:p>
        <a:p>
          <a:pPr algn="l"/>
          <a:endParaRPr kumimoji="1" lang="ja-JP" altLang="en-US" sz="1100">
            <a:solidFill>
              <a:sysClr val="windowText" lastClr="000000"/>
            </a:solidFill>
          </a:endParaRPr>
        </a:p>
        <a:p>
          <a:pPr algn="l"/>
          <a:r>
            <a:rPr kumimoji="1" lang="ja-JP" altLang="en-US" sz="1100">
              <a:solidFill>
                <a:sysClr val="windowText" lastClr="000000"/>
              </a:solidFill>
              <a:latin typeface="+mj-ea"/>
              <a:ea typeface="+mj-ea"/>
            </a:rPr>
            <a:t>　</a:t>
          </a:r>
          <a:r>
            <a:rPr kumimoji="1" lang="en-US" altLang="ja-JP" sz="1100">
              <a:solidFill>
                <a:sysClr val="windowText" lastClr="000000"/>
              </a:solidFill>
              <a:latin typeface="+mj-ea"/>
              <a:ea typeface="+mj-ea"/>
            </a:rPr>
            <a:t>Ⅰ.</a:t>
          </a:r>
          <a:r>
            <a:rPr kumimoji="1" lang="ja-JP" altLang="en-US" sz="1100">
              <a:solidFill>
                <a:sysClr val="windowText" lastClr="000000"/>
              </a:solidFill>
              <a:latin typeface="+mj-ea"/>
              <a:ea typeface="+mj-ea"/>
            </a:rPr>
            <a:t>発行済株式の総数または出資価格の総額</a:t>
          </a:r>
          <a:r>
            <a:rPr kumimoji="1" lang="en-US" altLang="ja-JP" sz="1100">
              <a:solidFill>
                <a:sysClr val="windowText" lastClr="000000"/>
              </a:solidFill>
              <a:latin typeface="+mj-ea"/>
              <a:ea typeface="+mj-ea"/>
            </a:rPr>
            <a:t>2</a:t>
          </a:r>
          <a:r>
            <a:rPr kumimoji="1" lang="ja-JP" altLang="en-US" sz="1100">
              <a:solidFill>
                <a:sysClr val="windowText" lastClr="000000"/>
              </a:solidFill>
              <a:latin typeface="+mj-ea"/>
              <a:ea typeface="+mj-ea"/>
            </a:rPr>
            <a:t>分の</a:t>
          </a:r>
          <a:r>
            <a:rPr kumimoji="1" lang="en-US" altLang="ja-JP" sz="1100">
              <a:solidFill>
                <a:sysClr val="windowText" lastClr="000000"/>
              </a:solidFill>
              <a:latin typeface="+mj-ea"/>
              <a:ea typeface="+mj-ea"/>
            </a:rPr>
            <a:t>1</a:t>
          </a:r>
          <a:r>
            <a:rPr kumimoji="1" lang="ja-JP" altLang="en-US" sz="1100">
              <a:solidFill>
                <a:sysClr val="windowText" lastClr="000000"/>
              </a:solidFill>
              <a:latin typeface="+mj-ea"/>
              <a:ea typeface="+mj-ea"/>
            </a:rPr>
            <a:t>以上同一の大企業が所有している</a:t>
          </a:r>
        </a:p>
        <a:p>
          <a:pPr algn="l"/>
          <a:r>
            <a:rPr kumimoji="1" lang="ja-JP" altLang="en-US" sz="1100">
              <a:solidFill>
                <a:sysClr val="windowText" lastClr="000000"/>
              </a:solidFill>
              <a:latin typeface="+mj-ea"/>
              <a:ea typeface="+mj-ea"/>
            </a:rPr>
            <a:t>　</a:t>
          </a:r>
          <a:r>
            <a:rPr kumimoji="1" lang="en-US" altLang="ja-JP" sz="1100">
              <a:solidFill>
                <a:sysClr val="windowText" lastClr="000000"/>
              </a:solidFill>
              <a:latin typeface="+mj-ea"/>
              <a:ea typeface="+mj-ea"/>
            </a:rPr>
            <a:t>Ⅱ.</a:t>
          </a:r>
          <a:r>
            <a:rPr kumimoji="1" lang="ja-JP" altLang="en-US" sz="1100">
              <a:solidFill>
                <a:sysClr val="windowText" lastClr="000000"/>
              </a:solidFill>
              <a:latin typeface="+mj-ea"/>
              <a:ea typeface="+mj-ea"/>
            </a:rPr>
            <a:t>発行済株式の総数または出資価格の総額の</a:t>
          </a:r>
          <a:r>
            <a:rPr kumimoji="1" lang="en-US" altLang="ja-JP" sz="1100">
              <a:solidFill>
                <a:sysClr val="windowText" lastClr="000000"/>
              </a:solidFill>
              <a:latin typeface="+mj-ea"/>
              <a:ea typeface="+mj-ea"/>
            </a:rPr>
            <a:t>3</a:t>
          </a:r>
          <a:r>
            <a:rPr kumimoji="1" lang="ja-JP" altLang="en-US" sz="1100">
              <a:solidFill>
                <a:sysClr val="windowText" lastClr="000000"/>
              </a:solidFill>
              <a:latin typeface="+mj-ea"/>
              <a:ea typeface="+mj-ea"/>
            </a:rPr>
            <a:t>分の</a:t>
          </a:r>
          <a:r>
            <a:rPr kumimoji="1" lang="en-US" altLang="ja-JP" sz="1100">
              <a:solidFill>
                <a:sysClr val="windowText" lastClr="000000"/>
              </a:solidFill>
              <a:latin typeface="+mj-ea"/>
              <a:ea typeface="+mj-ea"/>
            </a:rPr>
            <a:t>2</a:t>
          </a:r>
          <a:r>
            <a:rPr kumimoji="1" lang="ja-JP" altLang="en-US" sz="1100">
              <a:solidFill>
                <a:sysClr val="windowText" lastClr="000000"/>
              </a:solidFill>
              <a:latin typeface="+mj-ea"/>
              <a:ea typeface="+mj-ea"/>
            </a:rPr>
            <a:t>以上を大企業が所有している</a:t>
          </a:r>
          <a:endParaRPr kumimoji="1" lang="en-US" altLang="ja-JP" sz="1100">
            <a:solidFill>
              <a:sysClr val="windowText" lastClr="000000"/>
            </a:solidFill>
            <a:latin typeface="+mj-ea"/>
            <a:ea typeface="+mj-ea"/>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j-ea"/>
              <a:ea typeface="+mj-ea"/>
              <a:cs typeface="+mn-cs"/>
            </a:rPr>
            <a:t>　</a:t>
          </a:r>
          <a:r>
            <a:rPr kumimoji="1" lang="en-US" altLang="ja-JP" sz="1100">
              <a:solidFill>
                <a:sysClr val="windowText" lastClr="000000"/>
              </a:solidFill>
              <a:effectLst/>
              <a:latin typeface="+mj-ea"/>
              <a:ea typeface="+mj-ea"/>
              <a:cs typeface="+mn-cs"/>
            </a:rPr>
            <a:t>Ⅲ.</a:t>
          </a:r>
          <a:r>
            <a:rPr kumimoji="1" lang="ja-JP" altLang="en-US" sz="1100">
              <a:solidFill>
                <a:sysClr val="windowText" lastClr="000000"/>
              </a:solidFill>
              <a:effectLst/>
              <a:latin typeface="+mj-ea"/>
              <a:ea typeface="+mj-ea"/>
              <a:cs typeface="+mn-cs"/>
            </a:rPr>
            <a:t>別記１</a:t>
          </a:r>
          <a:r>
            <a:rPr kumimoji="1" lang="ja-JP" altLang="ja-JP" sz="1100">
              <a:solidFill>
                <a:sysClr val="windowText" lastClr="000000"/>
              </a:solidFill>
              <a:effectLst/>
              <a:latin typeface="+mj-ea"/>
              <a:ea typeface="+mj-ea"/>
              <a:cs typeface="+mn-cs"/>
            </a:rPr>
            <a:t>に該当する中小企業者が</a:t>
          </a:r>
          <a:r>
            <a:rPr kumimoji="1" lang="ja-JP" altLang="en-US" sz="1100">
              <a:solidFill>
                <a:sysClr val="windowText" lastClr="000000"/>
              </a:solidFill>
              <a:effectLst/>
              <a:latin typeface="+mj-ea"/>
              <a:ea typeface="+mj-ea"/>
              <a:cs typeface="+mn-cs"/>
            </a:rPr>
            <a:t>発行済株式の総数又は出資価格の総額を所有している</a:t>
          </a:r>
          <a:endParaRPr kumimoji="1" lang="en-US" altLang="ja-JP" sz="1100">
            <a:solidFill>
              <a:sysClr val="windowText" lastClr="000000"/>
            </a:solidFill>
            <a:effectLst/>
            <a:latin typeface="+mj-ea"/>
            <a:ea typeface="+mj-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a:solidFill>
                <a:srgbClr val="FF0000"/>
              </a:solidFill>
            </a:rPr>
            <a:t>　</a:t>
          </a:r>
          <a:r>
            <a:rPr kumimoji="1" lang="ja-JP" altLang="en-US" sz="1100" b="0">
              <a:solidFill>
                <a:sysClr val="windowText" lastClr="000000"/>
              </a:solidFill>
            </a:rPr>
            <a:t>　</a:t>
          </a:r>
          <a:endParaRPr kumimoji="1" lang="en-US" altLang="ja-JP" sz="1100" b="1">
            <a:solidFill>
              <a:srgbClr val="FF0000"/>
            </a:solidFill>
          </a:endParaRPr>
        </a:p>
        <a:p>
          <a:pPr algn="l"/>
          <a:r>
            <a:rPr kumimoji="1" lang="en-US" altLang="ja-JP" sz="1100" b="1">
              <a:solidFill>
                <a:srgbClr val="FF0000"/>
              </a:solidFill>
            </a:rPr>
            <a:t>※</a:t>
          </a:r>
          <a:r>
            <a:rPr kumimoji="1" lang="ja-JP" altLang="en-US" sz="1100" b="1">
              <a:solidFill>
                <a:srgbClr val="FF0000"/>
              </a:solidFill>
            </a:rPr>
            <a:t>自治体等の公的機関が株主・出資者の場合も、大企業とみなしますので、申請の際はご注意ください。</a:t>
          </a:r>
          <a:endParaRPr kumimoji="1" lang="en-US" altLang="ja-JP" sz="1100" b="1">
            <a:solidFill>
              <a:srgbClr val="FF0000"/>
            </a:solidFill>
          </a:endParaRPr>
        </a:p>
        <a:p>
          <a:pPr algn="l"/>
          <a:r>
            <a:rPr kumimoji="1" lang="ja-JP" altLang="en-US" sz="1100" b="1">
              <a:solidFill>
                <a:srgbClr val="FF0000"/>
              </a:solidFill>
            </a:rPr>
            <a:t>　詳細は公募要領「２ー２</a:t>
          </a:r>
          <a:r>
            <a:rPr kumimoji="1" lang="en-US" altLang="ja-JP" sz="1100" b="1">
              <a:solidFill>
                <a:srgbClr val="FF0000"/>
              </a:solidFill>
            </a:rPr>
            <a:t>.</a:t>
          </a:r>
          <a:r>
            <a:rPr kumimoji="1" lang="ja-JP" altLang="en-US" sz="1100" b="1">
              <a:solidFill>
                <a:srgbClr val="FF0000"/>
              </a:solidFill>
            </a:rPr>
            <a:t>補助対象外となる事業者」を参照してください。</a:t>
          </a:r>
          <a:endParaRPr kumimoji="1" lang="en-US" altLang="ja-JP" sz="1100" b="1">
            <a:solidFill>
              <a:srgbClr val="FF0000"/>
            </a:solidFill>
          </a:endParaRPr>
        </a:p>
        <a:p>
          <a:pPr algn="l"/>
          <a:endParaRPr kumimoji="1" lang="ja-JP" altLang="en-US" sz="1100">
            <a:solidFill>
              <a:sysClr val="windowText" lastClr="000000"/>
            </a:solidFill>
          </a:endParaRPr>
        </a:p>
        <a:p>
          <a:pPr algn="l"/>
          <a:r>
            <a:rPr kumimoji="1" lang="en-US" altLang="ja-JP" sz="1100" b="1">
              <a:solidFill>
                <a:srgbClr val="FF0000"/>
              </a:solidFill>
            </a:rPr>
            <a:t>※</a:t>
          </a:r>
          <a:r>
            <a:rPr kumimoji="1" lang="ja-JP" altLang="en-US" sz="1100" b="1">
              <a:solidFill>
                <a:srgbClr val="FF0000"/>
              </a:solidFill>
            </a:rPr>
            <a:t>実績報告時等に、申請内容に虚偽や実態との乖離が判明した場合には交付決定を取り消す場合があります。</a:t>
          </a:r>
        </a:p>
      </xdr:txBody>
    </xdr:sp>
    <xdr:clientData/>
  </xdr:twoCellAnchor>
  <xdr:twoCellAnchor>
    <xdr:from>
      <xdr:col>8</xdr:col>
      <xdr:colOff>585107</xdr:colOff>
      <xdr:row>1</xdr:row>
      <xdr:rowOff>64633</xdr:rowOff>
    </xdr:from>
    <xdr:to>
      <xdr:col>8</xdr:col>
      <xdr:colOff>8319067</xdr:colOff>
      <xdr:row>9</xdr:row>
      <xdr:rowOff>136071</xdr:rowOff>
    </xdr:to>
    <xdr:sp macro="" textlink="">
      <xdr:nvSpPr>
        <xdr:cNvPr id="2" name="正方形/長方形 1">
          <a:extLst>
            <a:ext uri="{FF2B5EF4-FFF2-40B4-BE49-F238E27FC236}">
              <a16:creationId xmlns:a16="http://schemas.microsoft.com/office/drawing/2014/main" id="{F9449A9C-3C12-4417-978A-F4D28EC51101}"/>
            </a:ext>
          </a:extLst>
        </xdr:cNvPr>
        <xdr:cNvSpPr/>
      </xdr:nvSpPr>
      <xdr:spPr>
        <a:xfrm>
          <a:off x="10668000" y="282347"/>
          <a:ext cx="7733960" cy="1908403"/>
        </a:xfrm>
        <a:prstGeom prst="rect">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ysClr val="windowText" lastClr="000000"/>
              </a:solidFill>
            </a:rPr>
            <a:t>＜別記１＞</a:t>
          </a:r>
          <a:endParaRPr kumimoji="1" lang="en-US" altLang="ja-JP" sz="1600" b="1">
            <a:solidFill>
              <a:sysClr val="windowText" lastClr="000000"/>
            </a:solidFill>
          </a:endParaRPr>
        </a:p>
        <a:p>
          <a:pPr algn="l"/>
          <a:endParaRPr kumimoji="1" lang="en-US" altLang="ja-JP" sz="1600" b="1">
            <a:solidFill>
              <a:sysClr val="windowText" lastClr="000000"/>
            </a:solidFill>
          </a:endParaRPr>
        </a:p>
        <a:p>
          <a:pPr algn="l"/>
          <a:r>
            <a:rPr kumimoji="1" lang="ja-JP" altLang="en-US" sz="1600" b="1">
              <a:solidFill>
                <a:sysClr val="windowText" lastClr="000000"/>
              </a:solidFill>
            </a:rPr>
            <a:t>　</a:t>
          </a:r>
          <a:r>
            <a:rPr kumimoji="1" lang="en-US" altLang="ja-JP" sz="1600" b="1">
              <a:solidFill>
                <a:srgbClr val="FF0000"/>
              </a:solidFill>
            </a:rPr>
            <a:t>※</a:t>
          </a:r>
          <a:r>
            <a:rPr kumimoji="1" lang="ja-JP" altLang="en-US" sz="1600" b="1">
              <a:solidFill>
                <a:srgbClr val="FF0000"/>
              </a:solidFill>
            </a:rPr>
            <a:t>公募要領　２－２．</a:t>
          </a:r>
          <a:r>
            <a:rPr lang="ja-JP" altLang="ja-JP" sz="1600" b="1">
              <a:solidFill>
                <a:srgbClr val="FF0000"/>
              </a:solidFill>
              <a:effectLst/>
              <a:latin typeface="+mn-lt"/>
              <a:ea typeface="+mn-ea"/>
              <a:cs typeface="+mn-cs"/>
            </a:rPr>
            <a:t>補助対象外となる事業者</a:t>
          </a:r>
          <a:endParaRPr lang="en-US" altLang="ja-JP" sz="1600" b="1">
            <a:solidFill>
              <a:srgbClr val="FF0000"/>
            </a:solidFill>
            <a:effectLst/>
            <a:latin typeface="+mn-lt"/>
            <a:ea typeface="+mn-ea"/>
            <a:cs typeface="+mn-cs"/>
          </a:endParaRPr>
        </a:p>
        <a:p>
          <a:r>
            <a:rPr lang="ja-JP" altLang="en-US" sz="1200" b="1">
              <a:solidFill>
                <a:sysClr val="windowText" lastClr="000000"/>
              </a:solidFill>
              <a:effectLst/>
              <a:latin typeface="+mn-lt"/>
              <a:ea typeface="+mn-ea"/>
              <a:cs typeface="+mn-cs"/>
            </a:rPr>
            <a:t>　　　①</a:t>
          </a:r>
          <a:r>
            <a:rPr lang="ja-JP" altLang="ja-JP" sz="1200" b="1">
              <a:solidFill>
                <a:sysClr val="windowText" lastClr="000000"/>
              </a:solidFill>
              <a:effectLst/>
              <a:latin typeface="+mn-lt"/>
              <a:ea typeface="+mn-ea"/>
              <a:cs typeface="+mn-cs"/>
            </a:rPr>
            <a:t>発行済株式の総数又は出資価格の総額の</a:t>
          </a:r>
          <a:r>
            <a:rPr lang="en-US" altLang="ja-JP" sz="1200" b="1">
              <a:solidFill>
                <a:sysClr val="windowText" lastClr="000000"/>
              </a:solidFill>
              <a:effectLst/>
              <a:latin typeface="+mn-lt"/>
              <a:ea typeface="+mn-ea"/>
              <a:cs typeface="+mn-cs"/>
            </a:rPr>
            <a:t>2</a:t>
          </a:r>
          <a:r>
            <a:rPr lang="ja-JP" altLang="ja-JP" sz="1200" b="1">
              <a:solidFill>
                <a:sysClr val="windowText" lastClr="000000"/>
              </a:solidFill>
              <a:effectLst/>
              <a:latin typeface="+mn-lt"/>
              <a:ea typeface="+mn-ea"/>
              <a:cs typeface="+mn-cs"/>
            </a:rPr>
            <a:t>分の</a:t>
          </a:r>
          <a:r>
            <a:rPr lang="en-US" altLang="ja-JP" sz="1200" b="1">
              <a:solidFill>
                <a:sysClr val="windowText" lastClr="000000"/>
              </a:solidFill>
              <a:effectLst/>
              <a:latin typeface="+mn-lt"/>
              <a:ea typeface="+mn-ea"/>
              <a:cs typeface="+mn-cs"/>
            </a:rPr>
            <a:t>1</a:t>
          </a:r>
          <a:r>
            <a:rPr lang="ja-JP" altLang="ja-JP" sz="1200" b="1">
              <a:solidFill>
                <a:sysClr val="windowText" lastClr="000000"/>
              </a:solidFill>
              <a:effectLst/>
              <a:latin typeface="+mn-lt"/>
              <a:ea typeface="+mn-ea"/>
              <a:cs typeface="+mn-cs"/>
            </a:rPr>
            <a:t>以上を同一の大企業が所有している中小企業者等</a:t>
          </a:r>
          <a:endParaRPr lang="en-US" altLang="ja-JP" sz="1200" b="1">
            <a:solidFill>
              <a:sysClr val="windowText" lastClr="000000"/>
            </a:solidFill>
            <a:effectLst/>
            <a:latin typeface="+mn-lt"/>
            <a:ea typeface="+mn-ea"/>
            <a:cs typeface="+mn-cs"/>
          </a:endParaRPr>
        </a:p>
        <a:p>
          <a:r>
            <a:rPr lang="ja-JP" altLang="en-US" sz="1200" b="1">
              <a:solidFill>
                <a:sysClr val="windowText" lastClr="000000"/>
              </a:solidFill>
              <a:effectLst/>
              <a:latin typeface="+mn-lt"/>
              <a:ea typeface="+mn-ea"/>
              <a:cs typeface="+mn-cs"/>
            </a:rPr>
            <a:t>　　　②</a:t>
          </a:r>
          <a:r>
            <a:rPr lang="ja-JP" altLang="ja-JP" sz="1200" b="1">
              <a:solidFill>
                <a:sysClr val="windowText" lastClr="000000"/>
              </a:solidFill>
              <a:effectLst/>
              <a:latin typeface="+mn-lt"/>
              <a:ea typeface="+mn-ea"/>
              <a:cs typeface="+mn-cs"/>
            </a:rPr>
            <a:t>発行済株式の総数又は出資価格の総額の</a:t>
          </a:r>
          <a:r>
            <a:rPr lang="en-US" altLang="ja-JP" sz="1200" b="1">
              <a:solidFill>
                <a:sysClr val="windowText" lastClr="000000"/>
              </a:solidFill>
              <a:effectLst/>
              <a:latin typeface="+mn-lt"/>
              <a:ea typeface="+mn-ea"/>
              <a:cs typeface="+mn-cs"/>
            </a:rPr>
            <a:t>3</a:t>
          </a:r>
          <a:r>
            <a:rPr lang="ja-JP" altLang="ja-JP" sz="1200" b="1">
              <a:solidFill>
                <a:sysClr val="windowText" lastClr="000000"/>
              </a:solidFill>
              <a:effectLst/>
              <a:latin typeface="+mn-lt"/>
              <a:ea typeface="+mn-ea"/>
              <a:cs typeface="+mn-cs"/>
            </a:rPr>
            <a:t>分の</a:t>
          </a:r>
          <a:r>
            <a:rPr lang="en-US" altLang="ja-JP" sz="1200" b="1">
              <a:solidFill>
                <a:sysClr val="windowText" lastClr="000000"/>
              </a:solidFill>
              <a:effectLst/>
              <a:latin typeface="+mn-lt"/>
              <a:ea typeface="+mn-ea"/>
              <a:cs typeface="+mn-cs"/>
            </a:rPr>
            <a:t>2</a:t>
          </a:r>
          <a:r>
            <a:rPr lang="ja-JP" altLang="ja-JP" sz="1200" b="1">
              <a:solidFill>
                <a:sysClr val="windowText" lastClr="000000"/>
              </a:solidFill>
              <a:effectLst/>
              <a:latin typeface="+mn-lt"/>
              <a:ea typeface="+mn-ea"/>
              <a:cs typeface="+mn-cs"/>
            </a:rPr>
            <a:t>以上を大企業</a:t>
          </a:r>
          <a:r>
            <a:rPr lang="ja-JP" altLang="en-US" sz="1200" b="1">
              <a:solidFill>
                <a:sysClr val="windowText" lastClr="000000"/>
              </a:solidFill>
              <a:effectLst/>
              <a:latin typeface="+mn-lt"/>
              <a:ea typeface="+mn-ea"/>
              <a:cs typeface="+mn-cs"/>
            </a:rPr>
            <a:t>が所有している中小企業者等</a:t>
          </a:r>
          <a:endParaRPr lang="en-US" altLang="ja-JP" sz="1200" b="1">
            <a:solidFill>
              <a:sysClr val="windowText" lastClr="000000"/>
            </a:solidFill>
            <a:effectLst/>
            <a:latin typeface="+mn-lt"/>
            <a:ea typeface="+mn-ea"/>
            <a:cs typeface="+mn-cs"/>
          </a:endParaRPr>
        </a:p>
        <a:p>
          <a:r>
            <a:rPr lang="ja-JP" altLang="en-US" sz="1200" b="1">
              <a:solidFill>
                <a:sysClr val="windowText" lastClr="000000"/>
              </a:solidFill>
              <a:effectLst/>
              <a:latin typeface="+mn-lt"/>
              <a:ea typeface="+mn-ea"/>
              <a:cs typeface="+mn-cs"/>
            </a:rPr>
            <a:t>　　　③</a:t>
          </a:r>
          <a:r>
            <a:rPr lang="ja-JP" altLang="ja-JP" sz="1200" b="1">
              <a:solidFill>
                <a:sysClr val="windowText" lastClr="000000"/>
              </a:solidFill>
              <a:effectLst/>
              <a:latin typeface="+mn-lt"/>
              <a:ea typeface="+mn-ea"/>
              <a:cs typeface="+mn-cs"/>
            </a:rPr>
            <a:t>大企業の役員又は職員を兼ねている者が役員総数の</a:t>
          </a:r>
          <a:r>
            <a:rPr lang="en-US" altLang="ja-JP" sz="1200" b="1">
              <a:solidFill>
                <a:sysClr val="windowText" lastClr="000000"/>
              </a:solidFill>
              <a:effectLst/>
              <a:latin typeface="+mn-lt"/>
              <a:ea typeface="+mn-ea"/>
              <a:cs typeface="+mn-cs"/>
            </a:rPr>
            <a:t>2</a:t>
          </a:r>
          <a:r>
            <a:rPr lang="ja-JP" altLang="ja-JP" sz="1200" b="1">
              <a:solidFill>
                <a:sysClr val="windowText" lastClr="000000"/>
              </a:solidFill>
              <a:effectLst/>
              <a:latin typeface="+mn-lt"/>
              <a:ea typeface="+mn-ea"/>
              <a:cs typeface="+mn-cs"/>
            </a:rPr>
            <a:t>分の</a:t>
          </a:r>
          <a:r>
            <a:rPr lang="en-US" altLang="ja-JP" sz="1200" b="1">
              <a:solidFill>
                <a:sysClr val="windowText" lastClr="000000"/>
              </a:solidFill>
              <a:effectLst/>
              <a:latin typeface="+mn-lt"/>
              <a:ea typeface="+mn-ea"/>
              <a:cs typeface="+mn-cs"/>
            </a:rPr>
            <a:t>1</a:t>
          </a:r>
          <a:r>
            <a:rPr lang="ja-JP" altLang="ja-JP" sz="1200" b="1">
              <a:solidFill>
                <a:sysClr val="windowText" lastClr="000000"/>
              </a:solidFill>
              <a:effectLst/>
              <a:latin typeface="+mn-lt"/>
              <a:ea typeface="+mn-ea"/>
              <a:cs typeface="+mn-cs"/>
            </a:rPr>
            <a:t>以上を占めている</a:t>
          </a:r>
          <a:r>
            <a:rPr lang="ja-JP" altLang="en-US" sz="1200" b="1">
              <a:solidFill>
                <a:sysClr val="windowText" lastClr="000000"/>
              </a:solidFill>
              <a:effectLst/>
              <a:latin typeface="+mn-lt"/>
              <a:ea typeface="+mn-ea"/>
              <a:cs typeface="+mn-cs"/>
            </a:rPr>
            <a:t>中小企業者等</a:t>
          </a:r>
          <a:endParaRPr kumimoji="1" lang="ja-JP" altLang="en-US" sz="1800" b="1">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etijapan-my.sharepoint.com/Users/a1945076/Downloads/&#12304;&#30003;&#35531;&#27096;&#24335;&#12305;&#35069;&#21697;&#23529;&#26619;&#30003;&#35531;&#26360;&#65288;CT0005_&#37197;&#33203;&#12525;&#12508;&#12483;&#12488;&#65289;_Ver1.3-5&#97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①製品審査申請書（工業会用）"/>
      <sheetName val="②製品審査申請書（事務局用）"/>
      <sheetName val="③納品実績報告書"/>
      <sheetName val="④省力化製品製造事業者登録申請書"/>
      <sheetName val="⑤カタログ掲載情報"/>
      <sheetName val="⑥提出書類一覧"/>
      <sheetName val="変更履歴"/>
      <sheetName val="審査結果サマリ"/>
      <sheetName val="凡例"/>
      <sheetName val="審査結果（飲食業ー小規模）"/>
      <sheetName val="審査結果（飲食業ー中規模）"/>
      <sheetName val="審査結果（飲食業ー大規模）"/>
      <sheetName val="利用が想定される中小企業(飲食業)"/>
      <sheetName val="審査結果（宿泊業ー小規模）"/>
      <sheetName val="審査結果（宿泊業ー中規模）"/>
      <sheetName val="審査結果（宿泊業ー大規模）"/>
      <sheetName val="利用が想定される中小企業(宿泊業)"/>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w="19050">
          <a:solidFill>
            <a:sysClr val="windowText" lastClr="000000"/>
          </a:solidFill>
        </a:ln>
      </a:spPr>
      <a:bodyPr vertOverflow="clip" horzOverflow="clip" rtlCol="0" anchor="t"/>
      <a:lstStyle>
        <a:defPPr algn="l">
          <a:defRPr kumimoji="1" sz="11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126C3-2B5F-42A5-9B74-CF77C893C124}">
  <dimension ref="B2:D8"/>
  <sheetViews>
    <sheetView workbookViewId="0">
      <selection activeCell="D9" sqref="D9"/>
    </sheetView>
  </sheetViews>
  <sheetFormatPr defaultRowHeight="18.75" x14ac:dyDescent="0.4"/>
  <cols>
    <col min="3" max="3" width="11.375" bestFit="1" customWidth="1"/>
    <col min="4" max="4" width="35.5" bestFit="1" customWidth="1"/>
  </cols>
  <sheetData>
    <row r="2" spans="2:4" x14ac:dyDescent="0.4">
      <c r="B2" s="25" t="s">
        <v>13</v>
      </c>
      <c r="C2" s="25" t="s">
        <v>10</v>
      </c>
      <c r="D2" s="26" t="s">
        <v>11</v>
      </c>
    </row>
    <row r="3" spans="2:4" x14ac:dyDescent="0.4">
      <c r="B3">
        <v>1.1000000000000001</v>
      </c>
      <c r="C3" s="27">
        <v>45587</v>
      </c>
      <c r="D3" t="s">
        <v>12</v>
      </c>
    </row>
    <row r="4" spans="2:4" x14ac:dyDescent="0.4">
      <c r="B4">
        <v>1.2</v>
      </c>
      <c r="C4" s="27">
        <v>45624</v>
      </c>
      <c r="D4" t="s">
        <v>14</v>
      </c>
    </row>
    <row r="5" spans="2:4" x14ac:dyDescent="0.4">
      <c r="B5">
        <v>1.3</v>
      </c>
      <c r="C5" s="27">
        <v>45755</v>
      </c>
      <c r="D5" t="s">
        <v>17</v>
      </c>
    </row>
    <row r="6" spans="2:4" x14ac:dyDescent="0.4">
      <c r="B6">
        <v>1.4</v>
      </c>
      <c r="C6" s="27">
        <v>45852</v>
      </c>
      <c r="D6" t="s">
        <v>18</v>
      </c>
    </row>
    <row r="7" spans="2:4" x14ac:dyDescent="0.4">
      <c r="B7">
        <v>1.5</v>
      </c>
      <c r="C7" s="27">
        <v>45916</v>
      </c>
      <c r="D7" t="s">
        <v>22</v>
      </c>
    </row>
    <row r="8" spans="2:4" x14ac:dyDescent="0.4">
      <c r="B8">
        <v>1.6</v>
      </c>
      <c r="C8" s="27">
        <v>46090</v>
      </c>
      <c r="D8" t="s">
        <v>28</v>
      </c>
    </row>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35"/>
  <sheetViews>
    <sheetView showGridLines="0" tabSelected="1" view="pageBreakPreview" zoomScale="70" zoomScaleNormal="70" zoomScaleSheetLayoutView="70" workbookViewId="0">
      <selection activeCell="D5" sqref="D5:F5"/>
    </sheetView>
  </sheetViews>
  <sheetFormatPr defaultColWidth="12.625" defaultRowHeight="15" customHeight="1" x14ac:dyDescent="0.4"/>
  <cols>
    <col min="1" max="1" width="1.125" style="6" customWidth="1"/>
    <col min="2" max="2" width="4.5" style="6" customWidth="1"/>
    <col min="3" max="4" width="27.75" style="6" customWidth="1"/>
    <col min="5" max="5" width="40.5" style="6" customWidth="1"/>
    <col min="6" max="6" width="26.125" style="6" bestFit="1" customWidth="1"/>
    <col min="7" max="7" width="1.125" style="10" customWidth="1"/>
    <col min="8" max="8" width="3.75" style="6" customWidth="1"/>
    <col min="9" max="9" width="112.625" style="8" customWidth="1"/>
    <col min="10" max="10" width="12.625" style="8"/>
    <col min="11" max="11" width="12.375" style="8" hidden="1" customWidth="1"/>
    <col min="12" max="12" width="4.625" style="6" hidden="1" customWidth="1"/>
    <col min="13" max="13" width="13" style="6" hidden="1" customWidth="1"/>
    <col min="14" max="14" width="15.125" style="6" hidden="1" customWidth="1"/>
    <col min="15" max="15" width="21.375" style="6" hidden="1" customWidth="1"/>
    <col min="16" max="16384" width="12.625" style="6"/>
  </cols>
  <sheetData>
    <row r="1" spans="2:15" ht="17.25" customHeight="1" x14ac:dyDescent="0.25">
      <c r="E1" s="29"/>
      <c r="F1" s="29" t="s">
        <v>29</v>
      </c>
    </row>
    <row r="2" spans="2:15" ht="9.75" customHeight="1" thickBot="1" x14ac:dyDescent="0.45">
      <c r="E2" s="5"/>
      <c r="F2" s="5"/>
      <c r="G2" s="7"/>
      <c r="H2" s="5"/>
    </row>
    <row r="3" spans="2:15" ht="18.75" customHeight="1" thickBot="1" x14ac:dyDescent="0.45">
      <c r="B3" s="43" t="s">
        <v>21</v>
      </c>
      <c r="C3" s="44"/>
      <c r="D3" s="44"/>
      <c r="E3" s="44"/>
      <c r="F3" s="45"/>
      <c r="G3" s="9"/>
      <c r="H3" s="10"/>
    </row>
    <row r="4" spans="2:15" ht="18.75" customHeight="1" thickBot="1" x14ac:dyDescent="0.45">
      <c r="B4" s="11"/>
      <c r="C4" s="11"/>
      <c r="D4" s="11"/>
      <c r="E4" s="11"/>
      <c r="F4" s="11"/>
      <c r="G4" s="9"/>
      <c r="H4" s="10"/>
    </row>
    <row r="5" spans="2:15" ht="19.5" thickTop="1" x14ac:dyDescent="0.4">
      <c r="B5" s="46" t="s">
        <v>0</v>
      </c>
      <c r="C5" s="47"/>
      <c r="D5" s="48"/>
      <c r="E5" s="49"/>
      <c r="F5" s="50"/>
      <c r="G5" s="3"/>
      <c r="H5" s="10"/>
    </row>
    <row r="6" spans="2:15" ht="18.75" customHeight="1" thickBot="1" x14ac:dyDescent="0.45">
      <c r="B6" s="51" t="s">
        <v>1</v>
      </c>
      <c r="C6" s="52"/>
      <c r="D6" s="53"/>
      <c r="E6" s="54"/>
      <c r="F6" s="55"/>
      <c r="G6" s="4"/>
      <c r="H6" s="10"/>
    </row>
    <row r="7" spans="2:15" ht="18.75" customHeight="1" thickTop="1" x14ac:dyDescent="0.4"/>
    <row r="8" spans="2:15" ht="18.75" customHeight="1" x14ac:dyDescent="0.4">
      <c r="B8" s="42" t="s">
        <v>25</v>
      </c>
      <c r="C8" s="42"/>
      <c r="D8" s="56" t="str" cm="1">
        <f t="array" ref="D8">IF(SUMIF($L$14:$L$33,"OK",$D$14:$D$33)&gt;$D$6,"上限を超えています",IF(MAX(IF(N14:N33="OK",D14:D33,""))&lt;D6/2,"みなし大企業に該当しません","みなし大企業に該当します"))</f>
        <v>みなし大企業に該当します</v>
      </c>
      <c r="E8" s="57"/>
      <c r="F8" s="58"/>
      <c r="G8" s="12"/>
    </row>
    <row r="9" spans="2:15" ht="18.75" customHeight="1" x14ac:dyDescent="0.4">
      <c r="B9" s="42" t="s">
        <v>26</v>
      </c>
      <c r="C9" s="42"/>
      <c r="D9" s="56" t="str">
        <f>IF(SUMIF($L$14:$L$33,"OK",$D$14:$D$33)&gt;$D$6,"上限を超えています",IF(SUMIF(N14:N33,"OK",D14:D33)&lt;($D$6/3*2),"みなし大企業に該当しません","みなし大企業に該当します"))</f>
        <v>みなし大企業に該当します</v>
      </c>
      <c r="E9" s="57"/>
      <c r="F9" s="58"/>
      <c r="G9" s="12"/>
    </row>
    <row r="10" spans="2:15" ht="18.75" customHeight="1" x14ac:dyDescent="0.4">
      <c r="B10" s="42" t="s">
        <v>27</v>
      </c>
      <c r="C10" s="42"/>
      <c r="D10" s="56" t="str">
        <f>IF(AND(D6=SUM($D$14:$D$33),(L35=O35)),"みなし大企業に該当します","みなし大企業に該当しません")</f>
        <v>みなし大企業に該当します</v>
      </c>
      <c r="E10" s="57"/>
      <c r="F10" s="58"/>
      <c r="G10" s="12"/>
    </row>
    <row r="11" spans="2:15" ht="18.75" customHeight="1" x14ac:dyDescent="0.4"/>
    <row r="12" spans="2:15" ht="81" customHeight="1" x14ac:dyDescent="0.4">
      <c r="B12" s="13" t="s">
        <v>2</v>
      </c>
      <c r="C12" s="13" t="s">
        <v>3</v>
      </c>
      <c r="D12" s="13" t="s">
        <v>4</v>
      </c>
      <c r="E12" s="28" t="s">
        <v>23</v>
      </c>
      <c r="F12" s="28" t="s">
        <v>24</v>
      </c>
      <c r="G12" s="9"/>
      <c r="H12" s="11"/>
      <c r="K12" s="41" t="s">
        <v>5</v>
      </c>
      <c r="L12" s="41"/>
      <c r="M12" s="14" t="s">
        <v>9</v>
      </c>
      <c r="N12" s="31" t="s">
        <v>15</v>
      </c>
      <c r="O12" s="14" t="s">
        <v>16</v>
      </c>
    </row>
    <row r="13" spans="2:15" ht="18.75" customHeight="1" thickBot="1" x14ac:dyDescent="0.45">
      <c r="B13" s="15" t="s">
        <v>6</v>
      </c>
      <c r="C13" s="16" t="s">
        <v>7</v>
      </c>
      <c r="D13" s="17">
        <v>1000000</v>
      </c>
      <c r="E13" s="18" t="s">
        <v>19</v>
      </c>
      <c r="F13" s="18" t="s">
        <v>19</v>
      </c>
      <c r="G13" s="7"/>
      <c r="H13" s="5"/>
      <c r="K13" s="19" t="s">
        <v>8</v>
      </c>
      <c r="L13" s="19" t="str">
        <f t="shared" ref="L13:L33" si="0">IF(C13="","NG",IF(D13="","NG","OK"))</f>
        <v>OK</v>
      </c>
      <c r="M13" s="19" t="b">
        <f t="shared" ref="M13:M33" si="1">IF(D13="","",ISNUMBER(D13))</f>
        <v>1</v>
      </c>
      <c r="N13" s="19" t="str">
        <f>IF(E13=FALSE,"",IF(L13="OK","OK","NG"))</f>
        <v>OK</v>
      </c>
      <c r="O13" s="19" t="str">
        <f t="shared" ref="O13" si="2">IF(F13=FALSE,"",IF(L13="OK","OK","NG"))</f>
        <v>OK</v>
      </c>
    </row>
    <row r="14" spans="2:15" ht="18.75" customHeight="1" thickTop="1" x14ac:dyDescent="0.4">
      <c r="B14" s="20">
        <v>1</v>
      </c>
      <c r="C14" s="1"/>
      <c r="D14" s="23"/>
      <c r="E14" s="33"/>
      <c r="F14" s="36"/>
      <c r="G14" s="7"/>
      <c r="H14" s="5"/>
      <c r="K14" s="21">
        <f t="shared" ref="K14:K33" si="3">COUNTBLANK(C14:D14)</f>
        <v>2</v>
      </c>
      <c r="L14" s="21" t="str">
        <f t="shared" si="0"/>
        <v>NG</v>
      </c>
      <c r="M14" s="22" t="str">
        <f t="shared" si="1"/>
        <v/>
      </c>
      <c r="N14" s="19" t="str">
        <f>IF(E14=FALSE,"",IF(L14="OK","OK","NG"))</f>
        <v/>
      </c>
      <c r="O14" s="21" t="str">
        <f>IF(F14=FALSE,"",IF(L14="OK","OK","NG"))</f>
        <v/>
      </c>
    </row>
    <row r="15" spans="2:15" ht="18.75" customHeight="1" x14ac:dyDescent="0.4">
      <c r="B15" s="20">
        <v>2</v>
      </c>
      <c r="C15" s="2"/>
      <c r="D15" s="24"/>
      <c r="E15" s="34"/>
      <c r="F15" s="37"/>
      <c r="G15" s="7"/>
      <c r="H15" s="5"/>
      <c r="K15" s="21">
        <f t="shared" si="3"/>
        <v>2</v>
      </c>
      <c r="L15" s="21" t="str">
        <f t="shared" si="0"/>
        <v>NG</v>
      </c>
      <c r="M15" s="22" t="str">
        <f t="shared" si="1"/>
        <v/>
      </c>
      <c r="N15" s="19" t="str">
        <f t="shared" ref="N15:N33" si="4">IF(E15=FALSE,"",IF(L15="OK","OK","NG"))</f>
        <v/>
      </c>
      <c r="O15" s="21" t="str">
        <f t="shared" ref="O15:O33" si="5">IF(F15=FALSE,"",IF(L15="OK","OK","NG"))</f>
        <v/>
      </c>
    </row>
    <row r="16" spans="2:15" ht="18.75" customHeight="1" x14ac:dyDescent="0.4">
      <c r="B16" s="20">
        <v>3</v>
      </c>
      <c r="C16" s="2"/>
      <c r="D16" s="24"/>
      <c r="E16" s="34"/>
      <c r="F16" s="37"/>
      <c r="G16" s="7"/>
      <c r="H16" s="5"/>
      <c r="K16" s="21">
        <f t="shared" si="3"/>
        <v>2</v>
      </c>
      <c r="L16" s="21" t="str">
        <f t="shared" si="0"/>
        <v>NG</v>
      </c>
      <c r="M16" s="22" t="str">
        <f t="shared" si="1"/>
        <v/>
      </c>
      <c r="N16" s="19" t="str">
        <f t="shared" si="4"/>
        <v/>
      </c>
      <c r="O16" s="21" t="str">
        <f t="shared" si="5"/>
        <v/>
      </c>
    </row>
    <row r="17" spans="2:15" ht="18.75" customHeight="1" x14ac:dyDescent="0.4">
      <c r="B17" s="20">
        <v>4</v>
      </c>
      <c r="C17" s="2"/>
      <c r="D17" s="24"/>
      <c r="E17" s="34"/>
      <c r="F17" s="37"/>
      <c r="G17" s="7"/>
      <c r="H17" s="5"/>
      <c r="K17" s="21">
        <f t="shared" si="3"/>
        <v>2</v>
      </c>
      <c r="L17" s="21" t="str">
        <f t="shared" si="0"/>
        <v>NG</v>
      </c>
      <c r="M17" s="22" t="str">
        <f t="shared" si="1"/>
        <v/>
      </c>
      <c r="N17" s="19" t="str">
        <f t="shared" si="4"/>
        <v/>
      </c>
      <c r="O17" s="21" t="str">
        <f t="shared" si="5"/>
        <v/>
      </c>
    </row>
    <row r="18" spans="2:15" ht="18.75" customHeight="1" x14ac:dyDescent="0.4">
      <c r="B18" s="20">
        <v>5</v>
      </c>
      <c r="C18" s="2"/>
      <c r="D18" s="24"/>
      <c r="E18" s="34"/>
      <c r="F18" s="37"/>
      <c r="G18" s="7"/>
      <c r="H18" s="5"/>
      <c r="K18" s="21">
        <f t="shared" si="3"/>
        <v>2</v>
      </c>
      <c r="L18" s="21" t="str">
        <f t="shared" si="0"/>
        <v>NG</v>
      </c>
      <c r="M18" s="22" t="str">
        <f t="shared" si="1"/>
        <v/>
      </c>
      <c r="N18" s="19" t="str">
        <f t="shared" si="4"/>
        <v/>
      </c>
      <c r="O18" s="21" t="str">
        <f t="shared" si="5"/>
        <v/>
      </c>
    </row>
    <row r="19" spans="2:15" ht="18.75" customHeight="1" x14ac:dyDescent="0.4">
      <c r="B19" s="20">
        <v>6</v>
      </c>
      <c r="C19" s="2"/>
      <c r="D19" s="24"/>
      <c r="E19" s="34"/>
      <c r="F19" s="37"/>
      <c r="G19" s="7"/>
      <c r="H19" s="5"/>
      <c r="K19" s="21">
        <f t="shared" si="3"/>
        <v>2</v>
      </c>
      <c r="L19" s="21" t="str">
        <f t="shared" si="0"/>
        <v>NG</v>
      </c>
      <c r="M19" s="22" t="str">
        <f t="shared" si="1"/>
        <v/>
      </c>
      <c r="N19" s="19" t="str">
        <f t="shared" si="4"/>
        <v/>
      </c>
      <c r="O19" s="21" t="str">
        <f t="shared" si="5"/>
        <v/>
      </c>
    </row>
    <row r="20" spans="2:15" ht="18.75" customHeight="1" x14ac:dyDescent="0.4">
      <c r="B20" s="20">
        <v>7</v>
      </c>
      <c r="C20" s="2"/>
      <c r="D20" s="24"/>
      <c r="E20" s="34"/>
      <c r="F20" s="37"/>
      <c r="G20" s="7"/>
      <c r="H20" s="5"/>
      <c r="K20" s="21">
        <f t="shared" si="3"/>
        <v>2</v>
      </c>
      <c r="L20" s="21" t="str">
        <f t="shared" si="0"/>
        <v>NG</v>
      </c>
      <c r="M20" s="22" t="str">
        <f t="shared" si="1"/>
        <v/>
      </c>
      <c r="N20" s="19" t="str">
        <f t="shared" si="4"/>
        <v/>
      </c>
      <c r="O20" s="21" t="str">
        <f t="shared" si="5"/>
        <v/>
      </c>
    </row>
    <row r="21" spans="2:15" ht="18.75" customHeight="1" x14ac:dyDescent="0.4">
      <c r="B21" s="20">
        <v>8</v>
      </c>
      <c r="C21" s="2"/>
      <c r="D21" s="24"/>
      <c r="E21" s="34"/>
      <c r="F21" s="37"/>
      <c r="G21" s="7"/>
      <c r="H21" s="5"/>
      <c r="K21" s="21">
        <f t="shared" si="3"/>
        <v>2</v>
      </c>
      <c r="L21" s="21" t="str">
        <f t="shared" si="0"/>
        <v>NG</v>
      </c>
      <c r="M21" s="22" t="str">
        <f t="shared" si="1"/>
        <v/>
      </c>
      <c r="N21" s="19" t="str">
        <f t="shared" si="4"/>
        <v/>
      </c>
      <c r="O21" s="21" t="str">
        <f t="shared" si="5"/>
        <v/>
      </c>
    </row>
    <row r="22" spans="2:15" ht="18.75" customHeight="1" x14ac:dyDescent="0.4">
      <c r="B22" s="20">
        <v>9</v>
      </c>
      <c r="C22" s="2"/>
      <c r="D22" s="24"/>
      <c r="E22" s="34"/>
      <c r="F22" s="37"/>
      <c r="G22" s="7"/>
      <c r="H22" s="5"/>
      <c r="K22" s="21">
        <f t="shared" si="3"/>
        <v>2</v>
      </c>
      <c r="L22" s="21" t="str">
        <f t="shared" si="0"/>
        <v>NG</v>
      </c>
      <c r="M22" s="22" t="str">
        <f t="shared" si="1"/>
        <v/>
      </c>
      <c r="N22" s="19" t="str">
        <f t="shared" si="4"/>
        <v/>
      </c>
      <c r="O22" s="21" t="str">
        <f t="shared" si="5"/>
        <v/>
      </c>
    </row>
    <row r="23" spans="2:15" ht="18.75" customHeight="1" x14ac:dyDescent="0.4">
      <c r="B23" s="20">
        <v>10</v>
      </c>
      <c r="C23" s="2"/>
      <c r="D23" s="24"/>
      <c r="E23" s="34"/>
      <c r="F23" s="37"/>
      <c r="G23" s="7"/>
      <c r="H23" s="5"/>
      <c r="K23" s="21">
        <f t="shared" si="3"/>
        <v>2</v>
      </c>
      <c r="L23" s="21" t="str">
        <f t="shared" si="0"/>
        <v>NG</v>
      </c>
      <c r="M23" s="22" t="str">
        <f t="shared" si="1"/>
        <v/>
      </c>
      <c r="N23" s="19" t="str">
        <f t="shared" si="4"/>
        <v/>
      </c>
      <c r="O23" s="21" t="str">
        <f t="shared" si="5"/>
        <v/>
      </c>
    </row>
    <row r="24" spans="2:15" ht="19.5" customHeight="1" x14ac:dyDescent="0.4">
      <c r="B24" s="20">
        <v>11</v>
      </c>
      <c r="C24" s="2"/>
      <c r="D24" s="24"/>
      <c r="E24" s="34"/>
      <c r="F24" s="37"/>
      <c r="K24" s="21">
        <f t="shared" si="3"/>
        <v>2</v>
      </c>
      <c r="L24" s="21" t="str">
        <f t="shared" si="0"/>
        <v>NG</v>
      </c>
      <c r="M24" s="22" t="str">
        <f t="shared" si="1"/>
        <v/>
      </c>
      <c r="N24" s="19" t="str">
        <f t="shared" si="4"/>
        <v/>
      </c>
      <c r="O24" s="21" t="str">
        <f t="shared" si="5"/>
        <v/>
      </c>
    </row>
    <row r="25" spans="2:15" ht="19.5" customHeight="1" x14ac:dyDescent="0.4">
      <c r="B25" s="20">
        <v>12</v>
      </c>
      <c r="C25" s="2"/>
      <c r="D25" s="24"/>
      <c r="E25" s="34"/>
      <c r="F25" s="37"/>
      <c r="K25" s="21">
        <f t="shared" si="3"/>
        <v>2</v>
      </c>
      <c r="L25" s="21" t="str">
        <f t="shared" si="0"/>
        <v>NG</v>
      </c>
      <c r="M25" s="22" t="str">
        <f t="shared" si="1"/>
        <v/>
      </c>
      <c r="N25" s="19" t="str">
        <f t="shared" si="4"/>
        <v/>
      </c>
      <c r="O25" s="21" t="str">
        <f t="shared" si="5"/>
        <v/>
      </c>
    </row>
    <row r="26" spans="2:15" ht="19.5" customHeight="1" x14ac:dyDescent="0.4">
      <c r="B26" s="20">
        <v>13</v>
      </c>
      <c r="C26" s="2"/>
      <c r="D26" s="24"/>
      <c r="E26" s="34"/>
      <c r="F26" s="37"/>
      <c r="K26" s="21">
        <f t="shared" si="3"/>
        <v>2</v>
      </c>
      <c r="L26" s="21" t="str">
        <f t="shared" si="0"/>
        <v>NG</v>
      </c>
      <c r="M26" s="22" t="str">
        <f t="shared" si="1"/>
        <v/>
      </c>
      <c r="N26" s="19" t="str">
        <f t="shared" si="4"/>
        <v/>
      </c>
      <c r="O26" s="21" t="str">
        <f t="shared" si="5"/>
        <v/>
      </c>
    </row>
    <row r="27" spans="2:15" ht="19.5" customHeight="1" x14ac:dyDescent="0.4">
      <c r="B27" s="20">
        <v>14</v>
      </c>
      <c r="C27" s="2"/>
      <c r="D27" s="24"/>
      <c r="E27" s="34"/>
      <c r="F27" s="37"/>
      <c r="K27" s="21">
        <f t="shared" si="3"/>
        <v>2</v>
      </c>
      <c r="L27" s="21" t="str">
        <f t="shared" si="0"/>
        <v>NG</v>
      </c>
      <c r="M27" s="22" t="str">
        <f t="shared" si="1"/>
        <v/>
      </c>
      <c r="N27" s="19" t="str">
        <f t="shared" si="4"/>
        <v/>
      </c>
      <c r="O27" s="21" t="str">
        <f t="shared" si="5"/>
        <v/>
      </c>
    </row>
    <row r="28" spans="2:15" ht="19.5" customHeight="1" x14ac:dyDescent="0.4">
      <c r="B28" s="20">
        <v>15</v>
      </c>
      <c r="C28" s="2"/>
      <c r="D28" s="24"/>
      <c r="E28" s="34"/>
      <c r="F28" s="37"/>
      <c r="K28" s="21">
        <f t="shared" si="3"/>
        <v>2</v>
      </c>
      <c r="L28" s="21" t="str">
        <f t="shared" si="0"/>
        <v>NG</v>
      </c>
      <c r="M28" s="22" t="str">
        <f t="shared" si="1"/>
        <v/>
      </c>
      <c r="N28" s="19" t="str">
        <f t="shared" si="4"/>
        <v/>
      </c>
      <c r="O28" s="21" t="str">
        <f t="shared" si="5"/>
        <v/>
      </c>
    </row>
    <row r="29" spans="2:15" ht="19.5" customHeight="1" x14ac:dyDescent="0.4">
      <c r="B29" s="20">
        <v>16</v>
      </c>
      <c r="C29" s="2"/>
      <c r="D29" s="24"/>
      <c r="E29" s="34"/>
      <c r="F29" s="37"/>
      <c r="K29" s="21">
        <f t="shared" si="3"/>
        <v>2</v>
      </c>
      <c r="L29" s="21" t="str">
        <f t="shared" si="0"/>
        <v>NG</v>
      </c>
      <c r="M29" s="22" t="str">
        <f t="shared" si="1"/>
        <v/>
      </c>
      <c r="N29" s="19" t="str">
        <f t="shared" si="4"/>
        <v/>
      </c>
      <c r="O29" s="21" t="str">
        <f t="shared" si="5"/>
        <v/>
      </c>
    </row>
    <row r="30" spans="2:15" ht="19.5" customHeight="1" x14ac:dyDescent="0.4">
      <c r="B30" s="20">
        <v>17</v>
      </c>
      <c r="C30" s="2"/>
      <c r="D30" s="24"/>
      <c r="E30" s="34"/>
      <c r="F30" s="37"/>
      <c r="K30" s="21">
        <f t="shared" si="3"/>
        <v>2</v>
      </c>
      <c r="L30" s="21" t="str">
        <f t="shared" si="0"/>
        <v>NG</v>
      </c>
      <c r="M30" s="22" t="str">
        <f t="shared" si="1"/>
        <v/>
      </c>
      <c r="N30" s="19" t="str">
        <f t="shared" si="4"/>
        <v/>
      </c>
      <c r="O30" s="21" t="str">
        <f t="shared" si="5"/>
        <v/>
      </c>
    </row>
    <row r="31" spans="2:15" ht="19.5" customHeight="1" x14ac:dyDescent="0.4">
      <c r="B31" s="20">
        <v>18</v>
      </c>
      <c r="C31" s="2"/>
      <c r="D31" s="24"/>
      <c r="E31" s="34"/>
      <c r="F31" s="37"/>
      <c r="K31" s="21">
        <f t="shared" si="3"/>
        <v>2</v>
      </c>
      <c r="L31" s="21" t="str">
        <f t="shared" si="0"/>
        <v>NG</v>
      </c>
      <c r="M31" s="22" t="str">
        <f t="shared" si="1"/>
        <v/>
      </c>
      <c r="N31" s="19" t="str">
        <f t="shared" si="4"/>
        <v/>
      </c>
      <c r="O31" s="21" t="str">
        <f t="shared" si="5"/>
        <v/>
      </c>
    </row>
    <row r="32" spans="2:15" ht="19.5" customHeight="1" x14ac:dyDescent="0.4">
      <c r="B32" s="20">
        <v>19</v>
      </c>
      <c r="C32" s="2"/>
      <c r="D32" s="24"/>
      <c r="E32" s="34"/>
      <c r="F32" s="37"/>
      <c r="K32" s="21">
        <f t="shared" si="3"/>
        <v>2</v>
      </c>
      <c r="L32" s="21" t="str">
        <f t="shared" si="0"/>
        <v>NG</v>
      </c>
      <c r="M32" s="22" t="str">
        <f t="shared" si="1"/>
        <v/>
      </c>
      <c r="N32" s="19" t="str">
        <f t="shared" si="4"/>
        <v/>
      </c>
      <c r="O32" s="21" t="str">
        <f t="shared" si="5"/>
        <v/>
      </c>
    </row>
    <row r="33" spans="2:15" ht="19.5" customHeight="1" thickBot="1" x14ac:dyDescent="0.45">
      <c r="B33" s="20">
        <v>20</v>
      </c>
      <c r="C33" s="32"/>
      <c r="D33" s="30"/>
      <c r="E33" s="35"/>
      <c r="F33" s="38"/>
      <c r="K33" s="21">
        <f t="shared" si="3"/>
        <v>2</v>
      </c>
      <c r="L33" s="21" t="str">
        <f t="shared" si="0"/>
        <v>NG</v>
      </c>
      <c r="M33" s="22" t="str">
        <f t="shared" si="1"/>
        <v/>
      </c>
      <c r="N33" s="19" t="str">
        <f t="shared" si="4"/>
        <v/>
      </c>
      <c r="O33" s="21" t="str">
        <f t="shared" si="5"/>
        <v/>
      </c>
    </row>
    <row r="34" spans="2:15" ht="8.25" customHeight="1" x14ac:dyDescent="0.4"/>
    <row r="35" spans="2:15" ht="15" customHeight="1" x14ac:dyDescent="0.4">
      <c r="L35" s="6">
        <f>COUNTIF($L$14:$L$33,"OK")</f>
        <v>0</v>
      </c>
      <c r="O35" s="6">
        <f>COUNTIF($O$14:$O$33,"OK")</f>
        <v>0</v>
      </c>
    </row>
  </sheetData>
  <sheetProtection algorithmName="SHA-512" hashValue="zsNloJmbZcvWbU2CV+KSrKgzl93AMyglggTBoho+s78dYLDOwoQwIvggRG8jYJvN0SgaIV8JPkG9TkfeeN+agw==" saltValue="Uzsa09as+vgZVIIEo9w8QA==" spinCount="100000" sheet="1" selectLockedCells="1"/>
  <mergeCells count="12">
    <mergeCell ref="K12:L12"/>
    <mergeCell ref="B8:C8"/>
    <mergeCell ref="B9:C9"/>
    <mergeCell ref="B3:F3"/>
    <mergeCell ref="B5:C5"/>
    <mergeCell ref="D5:F5"/>
    <mergeCell ref="B6:C6"/>
    <mergeCell ref="D6:F6"/>
    <mergeCell ref="D8:F8"/>
    <mergeCell ref="D9:F9"/>
    <mergeCell ref="B10:C10"/>
    <mergeCell ref="D10:F10"/>
  </mergeCells>
  <phoneticPr fontId="2"/>
  <conditionalFormatting sqref="C14:D14 F14">
    <cfRule type="expression" dxfId="12" priority="18">
      <formula>IF(AND($C$14="",$D$14=""),TRUE,FALSE)</formula>
    </cfRule>
  </conditionalFormatting>
  <conditionalFormatting sqref="C14:D33 F14:F33">
    <cfRule type="expression" dxfId="11" priority="5">
      <formula>IF($M14=FALSE,TRUE,FALSE)</formula>
    </cfRule>
  </conditionalFormatting>
  <conditionalFormatting sqref="D5:D6">
    <cfRule type="containsBlanks" dxfId="10" priority="10">
      <formula>LEN(TRIM(D5))=0</formula>
    </cfRule>
  </conditionalFormatting>
  <conditionalFormatting sqref="D8:D9">
    <cfRule type="cellIs" dxfId="9" priority="20" operator="equal">
      <formula>"みなし大企業に該当します"</formula>
    </cfRule>
  </conditionalFormatting>
  <conditionalFormatting sqref="K14:K33">
    <cfRule type="containsText" dxfId="8" priority="19" operator="containsText" text="NG">
      <formula>NOT(ISERROR(SEARCH("NG",K14)))</formula>
    </cfRule>
  </conditionalFormatting>
  <conditionalFormatting sqref="L14:L33">
    <cfRule type="containsText" dxfId="7" priority="21" operator="containsText" text="NG">
      <formula>NOT(ISERROR(SEARCH("NG",L14)))</formula>
    </cfRule>
  </conditionalFormatting>
  <conditionalFormatting sqref="M14:M33">
    <cfRule type="containsText" dxfId="6" priority="7" operator="containsText" text="false">
      <formula>NOT(ISERROR(SEARCH("false",M14)))</formula>
    </cfRule>
  </conditionalFormatting>
  <conditionalFormatting sqref="E14">
    <cfRule type="expression" dxfId="5" priority="3">
      <formula>IF(AND($C$14="",$D$14=""),TRUE,FALSE)</formula>
    </cfRule>
  </conditionalFormatting>
  <conditionalFormatting sqref="E14:E33">
    <cfRule type="expression" dxfId="4" priority="2">
      <formula>IF($M14=FALSE,TRUE,FALSE)</formula>
    </cfRule>
  </conditionalFormatting>
  <conditionalFormatting sqref="D10">
    <cfRule type="cellIs" dxfId="3" priority="1" operator="equal">
      <formula>"みなし大企業に該当します"</formula>
    </cfRule>
  </conditionalFormatting>
  <conditionalFormatting sqref="C14:C33">
    <cfRule type="expression" dxfId="2" priority="25">
      <formula>IF(AND($K14&lt;=1,$C14=""),TRUE,FALSE)</formula>
    </cfRule>
  </conditionalFormatting>
  <conditionalFormatting sqref="D14:D33">
    <cfRule type="expression" dxfId="1" priority="27">
      <formula>IF(SUM($D$14:$D$33)&gt;$D$6,TRUE,FALSE)</formula>
    </cfRule>
    <cfRule type="expression" dxfId="0" priority="28">
      <formula>IF(AND($K14&lt;=1,$D14=""),TRUE,FALSE)</formula>
    </cfRule>
  </conditionalFormatting>
  <dataValidations count="2">
    <dataValidation type="decimal" operator="lessThanOrEqual" allowBlank="1" showInputMessage="1" showErrorMessage="1" errorTitle="エラーのため入力できません" error="以下理由が考えられます。_x000a_・算用数字以外を使用している_x000a_・総株式数または出資価格総額を上回る数値を入れようとしている" sqref="D14:D33" xr:uid="{00000000-0002-0000-0000-000000000000}">
      <formula1>$D$6</formula1>
    </dataValidation>
    <dataValidation type="whole" operator="greaterThanOrEqual" allowBlank="1" showInputMessage="1" showErrorMessage="1" error="算用数字のみを記載してください。" sqref="D6:F6" xr:uid="{06CA598F-C163-496D-A14D-B44C7DC41CCA}">
      <formula1>1</formula1>
    </dataValidation>
  </dataValidations>
  <printOptions horizontalCentered="1"/>
  <pageMargins left="0.23622047244094491" right="0.23622047244094491" top="0.74803149606299213" bottom="0.74803149606299213" header="0.31496062992125984" footer="0.31496062992125984"/>
  <pageSetup paperSize="9" scale="56" orientation="portrait" r:id="rId1"/>
  <colBreaks count="1" manualBreakCount="1">
    <brk id="7"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CB93F93-75C2-4510-9C21-DA5B4817230F}">
          <x14:formula1>
            <xm:f>リスト!$D$4</xm:f>
          </x14:formula1>
          <xm:sqref>E13:F33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5A469-781E-4FC8-81F6-97A791E8BA97}">
  <dimension ref="C4:D9"/>
  <sheetViews>
    <sheetView workbookViewId="0">
      <selection activeCell="D5" sqref="D5"/>
    </sheetView>
  </sheetViews>
  <sheetFormatPr defaultRowHeight="18.75" x14ac:dyDescent="0.4"/>
  <sheetData>
    <row r="4" spans="3:4" x14ac:dyDescent="0.4">
      <c r="C4" s="40"/>
      <c r="D4" s="39" t="s">
        <v>20</v>
      </c>
    </row>
    <row r="6" spans="3:4" x14ac:dyDescent="0.4">
      <c r="C6" s="39"/>
      <c r="D6" s="39"/>
    </row>
    <row r="7" spans="3:4" x14ac:dyDescent="0.4">
      <c r="C7" s="39"/>
    </row>
    <row r="8" spans="3:4" x14ac:dyDescent="0.4">
      <c r="C8" s="39"/>
    </row>
    <row r="9" spans="3:4" x14ac:dyDescent="0.4">
      <c r="C9" s="39"/>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1058a-a26e-4bfb-9ed8-f6199fac1b55">
      <Terms xmlns="http://schemas.microsoft.com/office/infopath/2007/PartnerControls"/>
    </lcf76f155ced4ddcb4097134ff3c332f>
    <TaxCatchAll xmlns="657d6e16-9cd1-4b89-89c3-c194a188f29e" xsi:nil="true"/>
    <_x66f4__x65b0_ xmlns="2fd1058a-a26e-4bfb-9ed8-f6199fac1b5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068C12C083E3D4399BD9F362DCFB0C9" ma:contentTypeVersion="19" ma:contentTypeDescription="新しいドキュメントを作成します。" ma:contentTypeScope="" ma:versionID="51d5b1d927d9d747f549d9d950a2f66e">
  <xsd:schema xmlns:xsd="http://www.w3.org/2001/XMLSchema" xmlns:xs="http://www.w3.org/2001/XMLSchema" xmlns:p="http://schemas.microsoft.com/office/2006/metadata/properties" xmlns:ns2="2fd1058a-a26e-4bfb-9ed8-f6199fac1b55" xmlns:ns3="657d6e16-9cd1-4b89-89c3-c194a188f29e" targetNamespace="http://schemas.microsoft.com/office/2006/metadata/properties" ma:root="true" ma:fieldsID="05db9a4aea3fbcb433f1a11589425d9a" ns2:_="" ns3:_="">
    <xsd:import namespace="2fd1058a-a26e-4bfb-9ed8-f6199fac1b55"/>
    <xsd:import namespace="657d6e16-9cd1-4b89-89c3-c194a188f2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_x66f4__x65b0_"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1058a-a26e-4bfb-9ed8-f6199fac1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85717d7-19ec-47d4-9288-ce56b1256b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66f4__x65b0_" ma:index="23" nillable="true" ma:displayName="更新" ma:format="DateTime" ma:internalName="_x66f4__x65b0_">
      <xsd:simpleType>
        <xsd:restriction base="dms:DateTim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7d6e16-9cd1-4b89-89c3-c194a188f29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cdbb20-7f7e-46b3-b69f-2ab5eebc6b01}" ma:internalName="TaxCatchAll" ma:showField="CatchAllData" ma:web="657d6e16-9cd1-4b89-89c3-c194a188f29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84273D-D536-472F-8FB8-5CFF56FD9C48}">
  <ds:schemaRefs>
    <ds:schemaRef ds:uri="http://schemas.microsoft.com/office/2006/metadata/properties"/>
    <ds:schemaRef ds:uri="http://schemas.microsoft.com/office/infopath/2007/PartnerControls"/>
    <ds:schemaRef ds:uri="17c8ab06-be12-4182-a5e2-d09979f2b532"/>
    <ds:schemaRef ds:uri="5250a967-a580-475d-8af3-8623006b46cb"/>
  </ds:schemaRefs>
</ds:datastoreItem>
</file>

<file path=customXml/itemProps2.xml><?xml version="1.0" encoding="utf-8"?>
<ds:datastoreItem xmlns:ds="http://schemas.openxmlformats.org/officeDocument/2006/customXml" ds:itemID="{010BBC33-8281-4D9F-B0DE-1E8A1D38650F}"/>
</file>

<file path=customXml/itemProps3.xml><?xml version="1.0" encoding="utf-8"?>
<ds:datastoreItem xmlns:ds="http://schemas.openxmlformats.org/officeDocument/2006/customXml" ds:itemID="{0E68183C-799B-47BF-ACF1-03C407BAB77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改訂履歴</vt:lpstr>
      <vt:lpstr>株主名簿</vt:lpstr>
      <vt:lpstr>リスト</vt:lpstr>
      <vt:lpstr>株主名簿!Print_Area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2024-06-24T02:24:59Z</dcterms:created>
  <dcterms:modified xsi:type="dcterms:W3CDTF">2026-03-11T10:21:56Z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0x0101000068C12C083E3D4399BD9F362DCFB0C9</vt:lpwstr>
  </property>
  <property fmtid="{D5CDD505-2E9C-101B-9397-08002B2CF9AE}" pid="3" name="MediaServiceImageTags">
    <vt:lpwstr/>
  </property>
</Properties>
</file>