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括" sheetId="1" state="visible" r:id="rId1"/>
    <sheet xmlns:r="http://schemas.openxmlformats.org/officeDocument/2006/relationships" name="新規指摘一覧" sheetId="2" state="visible" r:id="rId2"/>
    <sheet xmlns:r="http://schemas.openxmlformats.org/officeDocument/2006/relationships" name="前回指摘の反映状況" sheetId="3" state="visible" r:id="rId3"/>
    <sheet xmlns:r="http://schemas.openxmlformats.org/officeDocument/2006/relationships" name="数値照合" sheetId="4" state="visible" r:id="rId4"/>
  </sheets>
  <definedNames>
    <definedName name="_xlnm._FilterDatabase" localSheetId="1" hidden="1">'新規指摘一覧'!$A$4:$M$7</definedName>
    <definedName name="_xlnm.Print_Titles" localSheetId="1">'新規指摘一覧'!$4:$4</definedName>
    <definedName name="_xlnm._FilterDatabase" localSheetId="2" hidden="1">'前回指摘の反映状況'!$A$4:$G$12</definedName>
    <definedName name="_xlnm.Print_Titles" localSheetId="2">'前回指摘の反映状況'!$4:$4</definedName>
    <definedName name="_xlnm.Print_Titles" localSheetId="3">'数値照合'!$4:$4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Meiryo UI"/>
      <b val="1"/>
      <color rgb="001F4E5F"/>
      <sz val="14"/>
    </font>
    <font>
      <name val="Meiryo UI"/>
      <color rgb="00555555"/>
      <sz val="8"/>
    </font>
    <font>
      <name val="Meiryo UI"/>
      <b val="1"/>
      <color rgb="001F4E5F"/>
      <sz val="10"/>
    </font>
    <font>
      <name val="Meiryo UI"/>
      <b val="1"/>
      <sz val="9"/>
    </font>
    <font>
      <name val="Meiryo UI"/>
      <sz val="9"/>
    </font>
    <font>
      <name val="Meiryo UI"/>
      <b val="1"/>
      <color rgb="00FFFFFF"/>
      <sz val="9"/>
    </font>
    <font>
      <name val="Meiryo UI"/>
      <color rgb="000000FF"/>
      <sz val="9"/>
    </font>
  </fonts>
  <fills count="8">
    <fill>
      <patternFill/>
    </fill>
    <fill>
      <patternFill patternType="gray125"/>
    </fill>
    <fill>
      <patternFill patternType="solid">
        <fgColor rgb="00DCE9EE"/>
      </patternFill>
    </fill>
    <fill>
      <patternFill patternType="solid">
        <fgColor rgb="001F4E5F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3" fontId="7" fillId="0" borderId="1" applyAlignment="1" pivotButton="0" quotePrefix="0" xfId="0">
      <alignment horizontal="right" vertical="top"/>
    </xf>
    <xf numFmtId="3" fontId="5" fillId="0" borderId="1" applyAlignment="1" pivotButton="0" quotePrefix="0" xfId="0">
      <alignment horizontal="right" vertical="top"/>
    </xf>
    <xf numFmtId="2" fontId="7" fillId="0" borderId="1" applyAlignment="1" pivotButton="0" quotePrefix="0" xfId="0">
      <alignment horizontal="right" vertical="top"/>
    </xf>
    <xf numFmtId="2" fontId="5" fillId="0" borderId="1" applyAlignment="1" pivotButton="0" quotePrefix="0" xfId="0">
      <alignment horizontal="right" vertical="top"/>
    </xf>
    <xf numFmtId="1" fontId="7" fillId="0" borderId="1" applyAlignment="1" pivotButton="0" quotePrefix="0" xfId="0">
      <alignment horizontal="right" vertical="top"/>
    </xf>
    <xf numFmtId="1" fontId="5" fillId="0" borderId="1" applyAlignment="1" pivotButton="0" quotePrefix="0" xfId="0">
      <alignment horizontal="right" vertical="top"/>
    </xf>
    <xf numFmtId="164" fontId="7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10" fontId="7" fillId="0" borderId="1" applyAlignment="1" pivotButton="0" quotePrefix="0" xfId="0">
      <alignment horizontal="right" vertical="top"/>
    </xf>
    <xf numFmtId="10" fontId="5" fillId="0" borderId="1" applyAlignment="1" pivotButton="0" quotePrefix="0" xfId="0">
      <alignment horizontal="right" vertical="top"/>
    </xf>
    <xf numFmtId="9" fontId="7" fillId="0" borderId="1" applyAlignment="1" pivotButton="0" quotePrefix="0" xfId="0">
      <alignment horizontal="right" vertical="top"/>
    </xf>
    <xf numFmtId="9" fontId="5" fillId="0" borderId="1" applyAlignment="1" pivotButton="0" quotePrefix="0" xfId="0">
      <alignment horizontal="right" vertical="top"/>
    </xf>
    <xf numFmtId="165" fontId="7" fillId="0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18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0" customWidth="1" min="3" max="3"/>
  </cols>
  <sheetData>
    <row r="1">
      <c r="B1" s="1" t="inlineStr">
        <is>
          <t>事業計画書 再チェック結果（第3回：今回修正後）</t>
        </is>
      </c>
    </row>
    <row r="2">
      <c r="B2" s="2" t="inlineStr">
        <is>
          <t>株式会社トンボ飲料 様　中小企業省力化投資補助金（一般型）第8回　｜　作成日：2026年10月1日</t>
        </is>
      </c>
    </row>
    <row r="4">
      <c r="B4" s="3" t="inlineStr">
        <is>
          <t>1. チェック対象</t>
        </is>
      </c>
    </row>
    <row r="5" ht="15.5" customHeight="1">
      <c r="B5" s="4" t="inlineStr">
        <is>
          <t>その１その２</t>
        </is>
      </c>
      <c r="C5" s="5" t="inlineStr">
        <is>
          <t>新20261001【更新版】作成中【参考様式】事業計画書（その１その２）第8回フォーマット.docx（今回修正後）</t>
        </is>
      </c>
    </row>
    <row r="6" ht="15.5" customHeight="1">
      <c r="B6" s="4" t="inlineStr">
        <is>
          <t>その３</t>
        </is>
      </c>
      <c r="C6" s="5" t="inlineStr">
        <is>
          <t>新20261001【更新版】作成中【指定様式】事業計画書（その３）第8回フォーマット.xlsx（今回修正後）</t>
        </is>
      </c>
    </row>
    <row r="7" ht="15.5" customHeight="1">
      <c r="B7" s="4" t="inlineStr">
        <is>
          <t>スケジュール</t>
        </is>
      </c>
      <c r="C7" s="5" t="inlineStr">
        <is>
          <t>新20261001【更新版】★20260930スケジュール（トンボ飲料様）.xlsx（今回修正後）</t>
        </is>
      </c>
    </row>
    <row r="8" ht="28" customHeight="1">
      <c r="B8" s="4" t="inlineStr">
        <is>
          <t>参照</t>
        </is>
      </c>
      <c r="C8" s="5" t="inlineStr">
        <is>
          <t>記入済み20261001_事業計画書再チェック結果（前回の指摘と対応方針）、記入済み20261001_事業計画書チェック結果（初回）、【更新版】省力化投資補助金_審査項目分析表</t>
        </is>
      </c>
    </row>
    <row r="9">
      <c r="B9" s="3" t="inlineStr">
        <is>
          <t>2. 結果の要点</t>
        </is>
      </c>
    </row>
    <row r="10" ht="40.5" customHeight="1">
      <c r="B10" s="4" t="inlineStr">
        <is>
          <t>前回指摘の反映</t>
        </is>
      </c>
      <c r="C10" s="5" t="inlineStr">
        <is>
          <t>前回の8件のうち、反映済 5件、方針どおり対応不要 1件、確認待ち 2件（No.7仮置き数値・No.8コメント）。No.1は案の例の数値では1年目が0.25ptに届かないため1.2pt／1.65ptに、No.3は生産量の前提と合わせるため「3シフト」に、それぞれ調整して反映した。</t>
        </is>
      </c>
    </row>
    <row r="11" ht="28" customHeight="1">
      <c r="B11" s="4" t="inlineStr">
        <is>
          <t>新規の指摘</t>
        </is>
      </c>
      <c r="C11" s="5" t="inlineStr">
        <is>
          <t>3件（すべて確認事項）。文章・数値の矛盾は見つからなかった。残っているのはクライアント確認（土曜稼働の体制と費用、仮置き数値）と、提出前の作業（スケジュール画像の貼替、Wordコメントの削除）である。</t>
        </is>
      </c>
    </row>
    <row r="12" ht="40.5" customHeight="1">
      <c r="B12" s="4" t="inlineStr">
        <is>
          <t>修正後の全体確認</t>
        </is>
      </c>
      <c r="C12" s="5" t="inlineStr">
        <is>
          <t>その１その２・その３・スケジュールを通読し、今回の修正箇所と関連箇所（1-2、2-1④、3章①段階、4章サマリ・【1】【2】、5章①、その３①(2)・別紙２、スケジュール）の整合を確認した。初回チェックで方針が空欄だったNo.35「背景は労働市場にあり、、」の読点の重複は残っている。</t>
        </is>
      </c>
    </row>
    <row r="13" ht="15.5" customHeight="1">
      <c r="B13" s="4" t="inlineStr">
        <is>
          <t>数値の照合</t>
        </is>
      </c>
      <c r="C13" s="5" t="inlineStr">
        <is>
          <t>主要な数値67項目を数式で再計算した（「数値照合」シート）。すべて一致（土曜の費用は概算の確認用）。</t>
        </is>
      </c>
    </row>
    <row r="14" ht="28" customHeight="1">
      <c r="B14" s="4" t="inlineStr">
        <is>
          <t>ページ数</t>
        </is>
      </c>
      <c r="C14" s="5" t="inlineStr">
        <is>
          <t>その１その２：LibreOfficeでの変換で26ページ（修正前と同じ。4章が約3行増えたが6章のページ内に収まった）。その３：20ページ（同）。スケジュール：3ページ（同）。Wordでの最終確認をお願いします。</t>
        </is>
      </c>
    </row>
    <row r="15">
      <c r="B15" s="3" t="inlineStr">
        <is>
          <t>3. シートの構成</t>
        </is>
      </c>
    </row>
    <row r="16" ht="15.5" customHeight="1">
      <c r="B16" s="4" t="inlineStr">
        <is>
          <t>新規指摘一覧</t>
        </is>
      </c>
      <c r="C16" s="5" t="inlineStr">
        <is>
          <t>今回の確認で見つかった事項。対応方針の欄（M列）に記入できます。</t>
        </is>
      </c>
    </row>
    <row r="17" ht="15.5" customHeight="1">
      <c r="B17" s="4" t="inlineStr">
        <is>
          <t>前回指摘の反映状況</t>
        </is>
      </c>
      <c r="C17" s="5" t="inlineStr">
        <is>
          <t>前回（再チェック）の8件について、M列の対応方針どおりに反映されているかの確認結果。</t>
        </is>
      </c>
    </row>
    <row r="18" ht="15.5" customHeight="1">
      <c r="B18" s="4" t="inlineStr">
        <is>
          <t>数値照合</t>
        </is>
      </c>
      <c r="C18" s="5" t="inlineStr">
        <is>
          <t>主要な数値の再計算（数式入り）。判定列は自動計算。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4" customWidth="1" min="4" max="4"/>
    <col width="14" customWidth="1" min="5" max="5"/>
    <col width="30" customWidth="1" min="6" max="6"/>
    <col width="38" customWidth="1" min="7" max="7"/>
    <col width="62" customWidth="1" min="8" max="8"/>
    <col width="56" customWidth="1" min="9" max="9"/>
    <col width="12" customWidth="1" min="10" max="10"/>
    <col width="20" customWidth="1" min="11" max="11"/>
    <col width="10" customWidth="1" min="12" max="12"/>
    <col width="24" customWidth="1" min="13" max="13"/>
  </cols>
  <sheetData>
    <row r="1">
      <c r="A1" s="3" t="inlineStr">
        <is>
          <t>新規指摘一覧（今回の確認で見つかったもの）</t>
        </is>
      </c>
    </row>
    <row r="2">
      <c r="A2" s="2" t="inlineStr">
        <is>
          <t>観点：①ファイル内の矛盾・ロジック・説得力・誤字脱字／②ファイル間・本文と図の整合／③審査項目への対応。対応状況はプルダウンで選択できます。</t>
        </is>
      </c>
    </row>
    <row r="4" ht="30" customHeight="1">
      <c r="A4" s="6" t="inlineStr">
        <is>
          <t>No</t>
        </is>
      </c>
      <c r="B4" s="6" t="inlineStr">
        <is>
          <t>重要度</t>
        </is>
      </c>
      <c r="C4" s="6" t="inlineStr">
        <is>
          <t>観点</t>
        </is>
      </c>
      <c r="D4" s="6" t="inlineStr">
        <is>
          <t>分類</t>
        </is>
      </c>
      <c r="E4" s="6" t="inlineStr">
        <is>
          <t>対象ファイル</t>
        </is>
      </c>
      <c r="F4" s="6" t="inlineStr">
        <is>
          <t>該当箇所</t>
        </is>
      </c>
      <c r="G4" s="6" t="inlineStr">
        <is>
          <t>現状の記載（抜粋）</t>
        </is>
      </c>
      <c r="H4" s="6" t="inlineStr">
        <is>
          <t>指摘内容（問題点・根拠）</t>
        </is>
      </c>
      <c r="I4" s="6" t="inlineStr">
        <is>
          <t>修正案</t>
        </is>
      </c>
      <c r="J4" s="6" t="inlineStr">
        <is>
          <t>関連審査項目</t>
        </is>
      </c>
      <c r="K4" s="6" t="inlineStr">
        <is>
          <t>根拠資料・確認元</t>
        </is>
      </c>
      <c r="L4" s="6" t="inlineStr">
        <is>
          <t>対応状況</t>
        </is>
      </c>
      <c r="M4" s="6" t="inlineStr">
        <is>
          <t>対応方針</t>
        </is>
      </c>
    </row>
    <row r="5" ht="140.5" customHeight="1">
      <c r="A5" s="7" t="n">
        <v>1</v>
      </c>
      <c r="B5" s="8" t="inlineStr">
        <is>
          <t>確認</t>
        </is>
      </c>
      <c r="C5" s="7" t="inlineStr">
        <is>
          <t>①③</t>
        </is>
      </c>
      <c r="D5" s="5" t="inlineStr">
        <is>
          <t>説得力（土曜稼働の体制・費用）</t>
        </is>
      </c>
      <c r="E5" s="5" t="inlineStr">
        <is>
          <t>その１その２</t>
        </is>
      </c>
      <c r="F5" s="5" t="inlineStr">
        <is>
          <t>4章【1】①顧客（断った案件）(b)</t>
        </is>
      </c>
      <c r="G5" s="5" t="inlineStr">
        <is>
          <t>「(b)製袋室が少人数で回るため土曜稼働を月2日追加できる（年360万袋。平日と同じ3シフトで稼働し、休日出勤の費用は人件費の計画内で吸収する）」</t>
        </is>
      </c>
      <c r="H5" s="5" t="inlineStr">
        <is>
          <t>前回No.3の修正案「日勤1シフト（製袋1名・充填1名・包装2〜3名）」のままでは、1日15万袋（年360万袋＝24日×15万袋の前提）を生産できず、パレットへの詰めの担当もいなくなるため、「平日と同じ3シフトで稼働」として反映した。
この場合、休日出勤の費用は概算で年約1,100万円（約15名×24日×8時間×2,773円×割増1.35）となる。計画の人件費は1人当たりの賃上げで積み上げており、土曜分は別枠で入っていないため、「計画内で吸収」の根拠を問われる可能性がある（土曜分の売上は最大年約1.8億円で、費用はその約6%）。
なお、年間稼働日数は245日のまま（2-1・別紙3）で、土曜分を省力化効果に入れていない控えめな計算になっている。</t>
        </is>
      </c>
      <c r="I5" s="5" t="inlineStr">
        <is>
          <t>クライアントに次を確認する。①土曜は3シフトで稼働できるか（人員・取引先の受入れ）②休日出勤か振替出勤か、費用の見込み。費用が大きい場合は「休日出勤の費用（年約1,100万円）は土曜分の増収で賄える」と書き換える。</t>
        </is>
      </c>
      <c r="J5" s="5" t="inlineStr">
        <is>
          <t>2-c、3-d</t>
        </is>
      </c>
      <c r="K5" s="5" t="inlineStr">
        <is>
          <t>計画書4章【1】、別紙3</t>
        </is>
      </c>
      <c r="L5" s="7" t="inlineStr">
        <is>
          <t>未対応</t>
        </is>
      </c>
      <c r="M5" s="9" t="inlineStr"/>
    </row>
    <row r="6" ht="103" customHeight="1">
      <c r="A6" s="7" t="n">
        <v>2</v>
      </c>
      <c r="B6" s="8" t="inlineStr">
        <is>
          <t>確認</t>
        </is>
      </c>
      <c r="C6" s="7" t="inlineStr">
        <is>
          <t>③</t>
        </is>
      </c>
      <c r="D6" s="5" t="inlineStr">
        <is>
          <t>仮置き数値の確認（継続）</t>
        </is>
      </c>
      <c r="E6" s="5" t="inlineStr">
        <is>
          <t>その１その２／その３</t>
        </is>
      </c>
      <c r="F6" s="5" t="inlineStr">
        <is>
          <t>2-2①②、3-1②、4章【1】【2】、2-1④、その３【算定根拠】①③・（別紙３）</t>
        </is>
      </c>
      <c r="G6" s="5" t="inlineStr">
        <is>
          <t>前回No.7で挙げた仮置きの数値（対応方針は空欄）</t>
        </is>
      </c>
      <c r="H6" s="5" t="inlineStr">
        <is>
          <t>前回No.7の数値は、まだクライアントの確認を経ていない。今回のNo.1の修正で、次の前提が加わった。
・ODM売上比率を1年目は既存の開発体制で+1.2pt（約11.2%）、2・3年目は各+1.65pt上げる
前回からの確認事項：停止1日約30分、土曜稼働月2日、断った案件の約半分の発注見込み、価格転嫁+1.5%・既存顧客の増量約0.9億円、ODM比率約10%→14.5%と粗利率差約20pt、既存従業員の昇給年約4%、予備パレットの形状別保有（遅番分の余裕は小さい）</t>
        </is>
      </c>
      <c r="I6" s="5" t="inlineStr">
        <is>
          <t>申請前にクライアントへまとめて確認し、違っていれば本文・その３の数値を直す。</t>
        </is>
      </c>
      <c r="J6" s="5" t="inlineStr">
        <is>
          <t>2-a、2-c、3-e</t>
        </is>
      </c>
      <c r="K6" s="5" t="inlineStr">
        <is>
          <t>前回No.7</t>
        </is>
      </c>
      <c r="L6" s="7" t="inlineStr">
        <is>
          <t>未対応</t>
        </is>
      </c>
      <c r="M6" s="9" t="inlineStr"/>
    </row>
    <row r="7" ht="53" customHeight="1">
      <c r="A7" s="7" t="n">
        <v>3</v>
      </c>
      <c r="B7" s="8" t="inlineStr">
        <is>
          <t>確認</t>
        </is>
      </c>
      <c r="C7" s="7" t="inlineStr">
        <is>
          <t>②</t>
        </is>
      </c>
      <c r="D7" s="5" t="inlineStr">
        <is>
          <t>提出前の確認（画像の貼替）</t>
        </is>
      </c>
      <c r="E7" s="5" t="inlineStr">
        <is>
          <t>その１その２／スケジュール</t>
        </is>
      </c>
      <c r="F7" s="5" t="inlineStr">
        <is>
          <t>計画書末尾のスケジュール画像</t>
        </is>
      </c>
      <c r="G7" s="5" t="inlineStr">
        <is>
          <t>スケジュールExcel：「5.①賃上げ計画の表明」の実施者を「事業責任者（社長）／統括責任者」に修正済み（行の高さを2行分に変更）</t>
        </is>
      </c>
      <c r="H7" s="5" t="inlineStr">
        <is>
          <t>計画書に貼ってあるスケジュール画像は修正前のまま（実施者が「統括責任者」のみ）。手動で貼り替える予定とのことなので、貼替後に本文（5章①）と一致しているかを確認する。行の高さを変えたため、画像の縦の長さが少し伸びる。</t>
        </is>
      </c>
      <c r="I7" s="5" t="inlineStr">
        <is>
          <t>Excelから画像を作り直して貼り替え、ページ数が増えないことを確認する。</t>
        </is>
      </c>
      <c r="J7" s="5" t="inlineStr">
        <is>
          <t>3-b</t>
        </is>
      </c>
      <c r="K7" s="5" t="inlineStr">
        <is>
          <t>スケジュールExcel</t>
        </is>
      </c>
      <c r="L7" s="7" t="inlineStr">
        <is>
          <t>未対応</t>
        </is>
      </c>
      <c r="M7" s="9" t="inlineStr"/>
    </row>
  </sheetData>
  <autoFilter ref="A4:M7"/>
  <dataValidations count="1">
    <dataValidation sqref="L5:L7" showDropDown="0" showInputMessage="0" showErrorMessage="0" allowBlank="1" type="list">
      <formula1>"未対応,対応中,対応済,対応不要"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46" customWidth="1" min="4" max="4"/>
    <col width="30" customWidth="1" min="5" max="5"/>
    <col width="16" customWidth="1" min="6" max="6"/>
    <col width="70" customWidth="1" min="7" max="7"/>
  </cols>
  <sheetData>
    <row r="1">
      <c r="A1" s="3" t="inlineStr">
        <is>
          <t>前回指摘の反映状況（前回の再チェック結果のM列＝対応方針どおりに修正版へ反映されているか）</t>
        </is>
      </c>
    </row>
    <row r="2">
      <c r="A2" s="2" t="inlineStr">
        <is>
          <t>対応方針が空欄・「修正不要」等の項目は「対応不要（方針どおり）」としています。残っている点がある場合のみ右端に記載しています。</t>
        </is>
      </c>
    </row>
    <row r="4" ht="30" customHeight="1">
      <c r="A4" s="6" t="inlineStr">
        <is>
          <t>前回No</t>
        </is>
      </c>
      <c r="B4" s="6" t="inlineStr">
        <is>
          <t>重要度</t>
        </is>
      </c>
      <c r="C4" s="6" t="inlineStr">
        <is>
          <t>分類</t>
        </is>
      </c>
      <c r="D4" s="6" t="inlineStr">
        <is>
          <t>該当箇所（前回）</t>
        </is>
      </c>
      <c r="E4" s="6" t="inlineStr">
        <is>
          <t>前回の対応方針（M列）</t>
        </is>
      </c>
      <c r="F4" s="6" t="inlineStr">
        <is>
          <t>今回の確認結果</t>
        </is>
      </c>
      <c r="G4" s="6" t="inlineStr">
        <is>
          <t>確認内容・残っている点</t>
        </is>
      </c>
    </row>
    <row r="5" ht="90.5" customHeight="1">
      <c r="A5" s="7" t="n">
        <v>1</v>
      </c>
      <c r="B5" s="10" t="inlineStr">
        <is>
          <t>B</t>
        </is>
      </c>
      <c r="C5" s="5" t="inlineStr">
        <is>
          <t>論理・整合（原価率の根拠）</t>
        </is>
      </c>
      <c r="D5" s="5" t="inlineStr">
        <is>
          <t>4章【2】改善の内訳、4章②各年度サマリ（1年目）、3章①〔3段階の再配置〕段階3
その３：【算定根拠】①(2)</t>
        </is>
      </c>
      <c r="E5" s="5" t="inlineStr">
        <is>
          <t>ｂ案で修正してください。</t>
        </is>
      </c>
      <c r="F5" s="11" t="inlineStr">
        <is>
          <t>反映済</t>
        </is>
      </c>
      <c r="G5" s="5" t="inlineStr">
        <is>
          <t>b案で、4章【2】改善の内訳を「1年目は既存の開発体制で+1.2pt、社員を再配置する2・3年目は各+1.65pt（3年目14.5%は同じ）」に、1年目サマリを「ODM比率の小幅な向上・価格転嫁・労務費の抑制で0.25pt改善」に、その３①(2)も同じ内容に修正。
※案の例（1年目+1.0pt）では、賃上げによる上昇の上限（−0.09pt）を引くと1年目が0.23ptで0.25ptに届かないため、+1.2pt（0.24＋0.05＋0.07−0.09＝0.27pt）とした。2・3年目は0.33＋0.05−0.09＝0.29pt。</t>
        </is>
      </c>
    </row>
    <row r="6" ht="53" customHeight="1">
      <c r="A6" s="7" t="n">
        <v>2</v>
      </c>
      <c r="B6" s="10" t="inlineStr">
        <is>
          <t>B</t>
        </is>
      </c>
      <c r="C6" s="5" t="inlineStr">
        <is>
          <t>整合（体制・賃上げ表明）</t>
        </is>
      </c>
      <c r="D6" s="5" t="inlineStr">
        <is>
          <t>5章①体制表（翠田社長・沖野常務の役割）
スケジュール：「5.賃上げ ①賃上げ計画の表明」の実施者、取組内容「５．賃上げ」、計画書末尾のスケジュール画像</t>
        </is>
      </c>
      <c r="E6" s="5" t="inlineStr">
        <is>
          <t>新20261001【更新版】★20260930スケジュール（トンボ飲料様）のエクセルを修正してください。貼り付けは手動で行います。</t>
        </is>
      </c>
      <c r="F6" s="11" t="inlineStr">
        <is>
          <t>反映済</t>
        </is>
      </c>
      <c r="G6" s="5" t="inlineStr">
        <is>
          <t>スケジュールExcelの実施者（D26）を「事業責任者（社長）／統括責任者」に、取組内容「５．賃上げ」（C34・Sheet1）を「事業責任者（社長）は…表明する（統括責任者が準備する）」に修正。26行目の高さを2行分に変更。計画書の画像は手動貼替待ち（新規No.3）。</t>
        </is>
      </c>
    </row>
    <row r="7" ht="40.5" customHeight="1">
      <c r="A7" s="7" t="n">
        <v>3</v>
      </c>
      <c r="B7" s="10" t="inlineStr">
        <is>
          <t>B</t>
        </is>
      </c>
      <c r="C7" s="5" t="inlineStr">
        <is>
          <t>説得力（新たな前提）</t>
        </is>
      </c>
      <c r="D7" s="5" t="inlineStr">
        <is>
          <t>2-2①「受注」行、4章【1】①顧客（断った案件）、4章②各年度サマリ1年目
その３：【算定根拠】①(1)</t>
        </is>
      </c>
      <c r="E7" s="5" t="inlineStr">
        <is>
          <t>案に沿って修正してください。</t>
        </is>
      </c>
      <c r="F7" s="11" t="inlineStr">
        <is>
          <t>反映済</t>
        </is>
      </c>
      <c r="G7" s="5" t="inlineStr">
        <is>
          <t>1-2課題①に「休憩・欠員時の供給待ちで1日約30分の停止も生じている」を追加。4章【1】(b)に体制・費用を追加。ただし体制は案の「日勤1シフト」ではなく「平日と同じ3シフト」とした（理由と費用の確認は新規No.1）。</t>
        </is>
      </c>
    </row>
    <row r="8" ht="28" customHeight="1">
      <c r="A8" s="7" t="n">
        <v>4</v>
      </c>
      <c r="B8" s="12" t="inlineStr">
        <is>
          <t>C</t>
        </is>
      </c>
      <c r="C8" s="5" t="inlineStr">
        <is>
          <t>整合（製作期間と日程）</t>
        </is>
      </c>
      <c r="D8" s="5" t="inlineStr">
        <is>
          <t>5章④スケジュール表「③製作」、5章③「１．」、6章①リスク①</t>
        </is>
      </c>
      <c r="E8" s="5" t="inlineStr">
        <is>
          <t>スケジュールガントチャートを見れば理解できるので修正不要</t>
        </is>
      </c>
      <c r="F8" s="13" t="inlineStr">
        <is>
          <t>対応不要（方針どおり）</t>
        </is>
      </c>
      <c r="G8" s="5" t="inlineStr"/>
    </row>
    <row r="9" ht="65.5" customHeight="1">
      <c r="A9" s="7" t="n">
        <v>5</v>
      </c>
      <c r="B9" s="12" t="inlineStr">
        <is>
          <t>C</t>
        </is>
      </c>
      <c r="C9" s="5" t="inlineStr">
        <is>
          <t>整合（型替えの前提）</t>
        </is>
      </c>
      <c r="D9" s="5" t="inlineStr">
        <is>
          <t>2-1④注記「型替え0分／14分→7分（予備パレットは形状別に使い分け、型替えは機内25枚のみ）」
その３：（別紙２）「専用パレットの型替え」の説明、図（パウチ供給工程）「2品種の日の半数で28分」</t>
        </is>
      </c>
      <c r="E9" s="5" t="inlineStr">
        <is>
          <t>案に沿って修正してください。</t>
        </is>
      </c>
      <c r="F9" s="11" t="inlineStr">
        <is>
          <t>反映済</t>
        </is>
      </c>
      <c r="G9" s="5" t="inlineStr">
        <is>
          <t>本文2-1④注記を「型替え0分／14分（形状が変わるのは2品種の日の半数、1回28分）→7分（予備パレットは形状別に保有し、型替えは機内25枚のみ）」に修正。その３（別紙２）は枠に収まるよう「形状が変わる切替時（2品種の日の半数）に機内25枚のガイド幅を替える（約28分）。予備は形状別。月平均」とした。</t>
        </is>
      </c>
    </row>
    <row r="10" ht="28" customHeight="1">
      <c r="A10" s="7" t="n">
        <v>6</v>
      </c>
      <c r="B10" s="12" t="inlineStr">
        <is>
          <t>C</t>
        </is>
      </c>
      <c r="C10" s="5" t="inlineStr">
        <is>
          <t>表現（体制）</t>
        </is>
      </c>
      <c r="D10" s="5" t="inlineStr">
        <is>
          <t>5章①社内の実施体制（冒頭文）</t>
        </is>
      </c>
      <c r="E10" s="5" t="inlineStr">
        <is>
          <t>案に沿って修正してください。</t>
        </is>
      </c>
      <c r="F10" s="11" t="inlineStr">
        <is>
          <t>反映済</t>
        </is>
      </c>
      <c r="G10" s="5" t="inlineStr">
        <is>
          <t>「統括責任者の沖野が、現場（生産部）と財務・事務管理責任者の山崎（経営統括本部）と連携して事業を進め、月次で社長へ報告する」に修正。</t>
        </is>
      </c>
    </row>
    <row r="11" ht="28" customHeight="1">
      <c r="A11" s="7" t="n">
        <v>7</v>
      </c>
      <c r="B11" s="14" t="inlineStr">
        <is>
          <t>確認</t>
        </is>
      </c>
      <c r="C11" s="5" t="inlineStr">
        <is>
          <t>仮置き数値の確認</t>
        </is>
      </c>
      <c r="D11" s="5" t="inlineStr">
        <is>
          <t>2-2①②、3-1②、4章【1】【2】、2-1④、その３【算定根拠】①③・（別紙３）</t>
        </is>
      </c>
      <c r="E11" s="5" t="inlineStr">
        <is>
          <t>（空欄＝修正不要）</t>
        </is>
      </c>
      <c r="F11" s="8" t="inlineStr">
        <is>
          <t>確認待ち</t>
        </is>
      </c>
      <c r="G11" s="5" t="inlineStr">
        <is>
          <t>対応方針は空欄。クライアント確認が残っている（新規No.2）。</t>
        </is>
      </c>
    </row>
    <row r="12" ht="28" customHeight="1">
      <c r="A12" s="7" t="n">
        <v>8</v>
      </c>
      <c r="B12" s="14" t="inlineStr">
        <is>
          <t>確認</t>
        </is>
      </c>
      <c r="C12" s="5" t="inlineStr">
        <is>
          <t>提出前の確認（コメント）</t>
        </is>
      </c>
      <c r="D12" s="5" t="inlineStr">
        <is>
          <t>（４）経費一覧 No.3「仮置き台車（17台）」、No.5「既設SPM機」</t>
        </is>
      </c>
      <c r="E12" s="5" t="inlineStr">
        <is>
          <t>（空欄＝修正不要）</t>
        </is>
      </c>
      <c r="F12" s="8" t="inlineStr">
        <is>
          <t>確認待ち</t>
        </is>
      </c>
      <c r="G12" s="5" t="inlineStr">
        <is>
          <t>コメント2件は残したまま（No.2・16の調整後、提出前に削除）。</t>
        </is>
      </c>
    </row>
  </sheetData>
  <autoFilter ref="A4:G1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16" customWidth="1" min="4" max="4"/>
    <col width="16" customWidth="1" min="5" max="5"/>
    <col width="9" customWidth="1" min="6" max="6"/>
    <col width="9" customWidth="1" min="7" max="7"/>
    <col width="9" customWidth="1" min="8" max="8"/>
    <col width="56" customWidth="1" min="9" max="9"/>
  </cols>
  <sheetData>
    <row r="1">
      <c r="A1" s="3" t="inlineStr">
        <is>
          <t>数値照合（今回修正後の記載値を、元の数値から数式で再計算して照合）</t>
        </is>
      </c>
    </row>
    <row r="2">
      <c r="A2" s="2" t="inlineStr">
        <is>
          <t>青字＝計画書・その３・図からの転記値、黒字＝再計算の数式。判定：差が許容差以内なら「一致」、超えれば「不一致」。</t>
        </is>
      </c>
    </row>
    <row r="4" ht="30" customHeight="1">
      <c r="A4" s="6" t="inlineStr">
        <is>
          <t>No</t>
        </is>
      </c>
      <c r="B4" s="6" t="inlineStr">
        <is>
          <t>区分</t>
        </is>
      </c>
      <c r="C4" s="6" t="inlineStr">
        <is>
          <t>項目</t>
        </is>
      </c>
      <c r="D4" s="6" t="inlineStr">
        <is>
          <t>計画書等の記載値</t>
        </is>
      </c>
      <c r="E4" s="6" t="inlineStr">
        <is>
          <t>再計算値（数式）</t>
        </is>
      </c>
      <c r="F4" s="6" t="inlineStr">
        <is>
          <t>単位</t>
        </is>
      </c>
      <c r="G4" s="6" t="inlineStr">
        <is>
          <t>許容差</t>
        </is>
      </c>
      <c r="H4" s="6" t="inlineStr">
        <is>
          <t>判定</t>
        </is>
      </c>
      <c r="I4" s="6" t="inlineStr">
        <is>
          <t>記載箇所・備考</t>
        </is>
      </c>
    </row>
    <row r="5" ht="15.5" customHeight="1">
      <c r="A5" s="7" t="n">
        <v>1</v>
      </c>
      <c r="B5" s="5" t="inlineStr">
        <is>
          <t>省力化</t>
        </is>
      </c>
      <c r="C5" s="5" t="inlineStr">
        <is>
          <t>削減される作業の時間（②〜⑦）</t>
        </is>
      </c>
      <c r="D5" s="15" t="n">
        <v>1030</v>
      </c>
      <c r="E5" s="16">
        <f>43+22+563+79+315+8</f>
        <v/>
      </c>
      <c r="F5" s="7" t="inlineStr">
        <is>
          <t>分／日</t>
        </is>
      </c>
      <c r="G5" s="16" t="n">
        <v>0</v>
      </c>
      <c r="H5" s="7">
        <f>IF(ABS(D5-E5)&lt;=G5+1E-9,"一致","不一致")</f>
        <v/>
      </c>
      <c r="I5" s="5" t="inlineStr">
        <is>
          <t>1-3表・別紙1</t>
        </is>
      </c>
    </row>
    <row r="6" ht="15.5" customHeight="1">
      <c r="A6" s="7" t="n">
        <v>2</v>
      </c>
      <c r="B6" s="5" t="inlineStr">
        <is>
          <t>省力化</t>
        </is>
      </c>
      <c r="C6" s="5" t="inlineStr">
        <is>
          <t>現状の拘束時間（①〜⑦）</t>
        </is>
      </c>
      <c r="D6" s="15" t="n">
        <v>1050</v>
      </c>
      <c r="E6" s="16">
        <f>20+43+22+563+79+315+8</f>
        <v/>
      </c>
      <c r="F6" s="7" t="inlineStr">
        <is>
          <t>分／日</t>
        </is>
      </c>
      <c r="G6" s="16" t="n">
        <v>0</v>
      </c>
      <c r="H6" s="7">
        <f>IF(ABS(D6-E6)&lt;=G6+1E-9,"一致","不一致")</f>
        <v/>
      </c>
      <c r="I6" s="5" t="inlineStr">
        <is>
          <t>1-3表</t>
        </is>
      </c>
    </row>
    <row r="7" ht="15.5" customHeight="1">
      <c r="A7" s="7" t="n">
        <v>3</v>
      </c>
      <c r="B7" s="5" t="inlineStr">
        <is>
          <t>省力化</t>
        </is>
      </c>
      <c r="C7" s="5" t="inlineStr">
        <is>
          <t>導入後に発生する作業の時間</t>
        </is>
      </c>
      <c r="D7" s="15" t="n">
        <v>231</v>
      </c>
      <c r="E7" s="16">
        <f>(250+168)/2+(18+12)/2+(0+14)/2</f>
        <v/>
      </c>
      <c r="F7" s="7" t="inlineStr">
        <is>
          <t>分／日</t>
        </is>
      </c>
      <c r="G7" s="16" t="n">
        <v>0</v>
      </c>
      <c r="H7" s="7">
        <f>IF(ABS(D7-E7)&lt;=G7+1E-9,"一致","不一致")</f>
        <v/>
      </c>
      <c r="I7" s="5" t="inlineStr">
        <is>
          <t>詰め・装填入替・型替えの1品種の日／2品種の日の平均</t>
        </is>
      </c>
    </row>
    <row r="8" ht="15.5" customHeight="1">
      <c r="A8" s="7" t="n">
        <v>4</v>
      </c>
      <c r="B8" s="5" t="inlineStr">
        <is>
          <t>省力化</t>
        </is>
      </c>
      <c r="C8" s="5" t="inlineStr">
        <is>
          <t>省力化指数</t>
        </is>
      </c>
      <c r="D8" s="17" t="n">
        <v>0.78</v>
      </c>
      <c r="E8" s="18">
        <f>ROUND((1030-231)/1030,2)</f>
        <v/>
      </c>
      <c r="F8" s="7" t="inlineStr"/>
      <c r="G8" s="18" t="n">
        <v>0</v>
      </c>
      <c r="H8" s="7">
        <f>IF(ABS(D8-E8)&lt;=G8+1E-9,"一致","不一致")</f>
        <v/>
      </c>
      <c r="I8" s="5" t="inlineStr">
        <is>
          <t>2-1④・その３【１】</t>
        </is>
      </c>
    </row>
    <row r="9" ht="15.5" customHeight="1">
      <c r="A9" s="7" t="n">
        <v>5</v>
      </c>
      <c r="B9" s="5" t="inlineStr">
        <is>
          <t>省力化</t>
        </is>
      </c>
      <c r="C9" s="5" t="inlineStr">
        <is>
          <t>創出時間</t>
        </is>
      </c>
      <c r="D9" s="15" t="n">
        <v>799</v>
      </c>
      <c r="E9" s="16">
        <f>1030-231</f>
        <v/>
      </c>
      <c r="F9" s="7" t="inlineStr">
        <is>
          <t>分／日</t>
        </is>
      </c>
      <c r="G9" s="16" t="n">
        <v>0</v>
      </c>
      <c r="H9" s="7">
        <f>IF(ABS(D9-E9)&lt;=G9+1E-9,"一致","不一致")</f>
        <v/>
      </c>
      <c r="I9" s="5" t="inlineStr"/>
    </row>
    <row r="10" ht="15.5" customHeight="1">
      <c r="A10" s="7" t="n">
        <v>6</v>
      </c>
      <c r="B10" s="5" t="inlineStr">
        <is>
          <t>省力化</t>
        </is>
      </c>
      <c r="C10" s="5" t="inlineStr">
        <is>
          <t>創出時間（年）</t>
        </is>
      </c>
      <c r="D10" s="15" t="n">
        <v>3262</v>
      </c>
      <c r="E10" s="16">
        <f>799/60*245</f>
        <v/>
      </c>
      <c r="F10" s="7" t="inlineStr">
        <is>
          <t>時間／年</t>
        </is>
      </c>
      <c r="G10" s="16" t="n">
        <v>1</v>
      </c>
      <c r="H10" s="7">
        <f>IF(ABS(D10-E10)&lt;=G10+1E-9,"一致","不一致")</f>
        <v/>
      </c>
      <c r="I10" s="5" t="inlineStr"/>
    </row>
    <row r="11" ht="15.5" customHeight="1">
      <c r="A11" s="7" t="n">
        <v>7</v>
      </c>
      <c r="B11" s="5" t="inlineStr">
        <is>
          <t>省力化</t>
        </is>
      </c>
      <c r="C11" s="5" t="inlineStr">
        <is>
          <t>1品種の日の創出時間</t>
        </is>
      </c>
      <c r="D11" s="15" t="n">
        <v>762</v>
      </c>
      <c r="E11" s="16">
        <f>1050-(20+250+18+0)</f>
        <v/>
      </c>
      <c r="F11" s="7" t="inlineStr">
        <is>
          <t>分／日</t>
        </is>
      </c>
      <c r="G11" s="16" t="n">
        <v>0</v>
      </c>
      <c r="H11" s="7">
        <f>IF(ABS(D11-E11)&lt;=G11+1E-9,"一致","不一致")</f>
        <v/>
      </c>
      <c r="I11" s="5" t="inlineStr">
        <is>
          <t>2-1③注記</t>
        </is>
      </c>
    </row>
    <row r="12" ht="15.5" customHeight="1">
      <c r="A12" s="7" t="n">
        <v>8</v>
      </c>
      <c r="B12" s="5" t="inlineStr">
        <is>
          <t>省力化</t>
        </is>
      </c>
      <c r="C12" s="5" t="inlineStr">
        <is>
          <t>2品種の日の創出時間</t>
        </is>
      </c>
      <c r="D12" s="15" t="n">
        <v>836</v>
      </c>
      <c r="E12" s="16">
        <f>1050-(20+168+12+14)</f>
        <v/>
      </c>
      <c r="F12" s="7" t="inlineStr">
        <is>
          <t>分／日</t>
        </is>
      </c>
      <c r="G12" s="16" t="n">
        <v>0</v>
      </c>
      <c r="H12" s="7">
        <f>IF(ABS(D12-E12)&lt;=G12+1E-9,"一致","不一致")</f>
        <v/>
      </c>
      <c r="I12" s="5" t="inlineStr">
        <is>
          <t>2-1③注記</t>
        </is>
      </c>
    </row>
    <row r="13" ht="15.5" customHeight="1">
      <c r="A13" s="7" t="n">
        <v>9</v>
      </c>
      <c r="B13" s="5" t="inlineStr">
        <is>
          <t>省力化</t>
        </is>
      </c>
      <c r="C13" s="5" t="inlineStr">
        <is>
          <t>専用パレット使用枚数（1品種の日）</t>
        </is>
      </c>
      <c r="D13" s="15" t="n">
        <v>125</v>
      </c>
      <c r="E13" s="16">
        <f>150000/1200</f>
        <v/>
      </c>
      <c r="F13" s="7" t="inlineStr">
        <is>
          <t>枚</t>
        </is>
      </c>
      <c r="G13" s="16" t="n">
        <v>0</v>
      </c>
      <c r="H13" s="7">
        <f>IF(ABS(D13-E13)&lt;=G13+1E-9,"一致","不一致")</f>
        <v/>
      </c>
      <c r="I13" s="5" t="inlineStr">
        <is>
          <t>2章②注記</t>
        </is>
      </c>
    </row>
    <row r="14" ht="15.5" customHeight="1">
      <c r="A14" s="7" t="n">
        <v>10</v>
      </c>
      <c r="B14" s="5" t="inlineStr">
        <is>
          <t>省力化</t>
        </is>
      </c>
      <c r="C14" s="5" t="inlineStr">
        <is>
          <t>専用パレット使用枚数（2品種の日）</t>
        </is>
      </c>
      <c r="D14" s="15" t="n">
        <v>84</v>
      </c>
      <c r="E14" s="16">
        <f>ROUNDUP(100000/1200,0)</f>
        <v/>
      </c>
      <c r="F14" s="7" t="inlineStr">
        <is>
          <t>枚</t>
        </is>
      </c>
      <c r="G14" s="16" t="n">
        <v>0</v>
      </c>
      <c r="H14" s="7">
        <f>IF(ABS(D14-E14)&lt;=G14+1E-9,"一致","不一致")</f>
        <v/>
      </c>
      <c r="I14" s="5" t="inlineStr">
        <is>
          <t>2章②注記</t>
        </is>
      </c>
    </row>
    <row r="15" ht="15.5" customHeight="1">
      <c r="A15" s="7" t="n">
        <v>11</v>
      </c>
      <c r="B15" s="5" t="inlineStr">
        <is>
          <t>省力化</t>
        </is>
      </c>
      <c r="C15" s="5" t="inlineStr">
        <is>
          <t>ストック量の持続時間</t>
        </is>
      </c>
      <c r="D15" s="17" t="n">
        <v>2.7</v>
      </c>
      <c r="E15" s="18">
        <f>24000/150/60</f>
        <v/>
      </c>
      <c r="F15" s="7" t="inlineStr">
        <is>
          <t>時間</t>
        </is>
      </c>
      <c r="G15" s="18" t="n">
        <v>0.05</v>
      </c>
      <c r="H15" s="7">
        <f>IF(ABS(D15-E15)&lt;=G15+1E-9,"一致","不一致")</f>
        <v/>
      </c>
      <c r="I15" s="5" t="inlineStr">
        <is>
          <t>（４）注記・2章①②・2-2①・図</t>
        </is>
      </c>
    </row>
    <row r="16" ht="15.5" customHeight="1">
      <c r="A16" s="7" t="n">
        <v>12</v>
      </c>
      <c r="B16" s="5" t="inlineStr">
        <is>
          <t>省力化</t>
        </is>
      </c>
      <c r="C16" s="5" t="inlineStr">
        <is>
          <t>入替回数（1品種の日）</t>
        </is>
      </c>
      <c r="D16" s="19" t="n">
        <v>6</v>
      </c>
      <c r="E16" s="20">
        <f>ROUND(150000/24000,0)</f>
        <v/>
      </c>
      <c r="F16" s="7" t="inlineStr">
        <is>
          <t>回／日</t>
        </is>
      </c>
      <c r="G16" s="20" t="n">
        <v>0</v>
      </c>
      <c r="H16" s="7">
        <f>IF(ABS(D16-E16)&lt;=G16+1E-9,"一致","不一致")</f>
        <v/>
      </c>
      <c r="I16" s="5" t="inlineStr"/>
    </row>
    <row r="17" ht="15.5" customHeight="1">
      <c r="A17" s="7" t="n">
        <v>13</v>
      </c>
      <c r="B17" s="5" t="inlineStr">
        <is>
          <t>省力化</t>
        </is>
      </c>
      <c r="C17" s="5" t="inlineStr">
        <is>
          <t>入替回数（2品種の日）</t>
        </is>
      </c>
      <c r="D17" s="19" t="n">
        <v>4</v>
      </c>
      <c r="E17" s="20">
        <f>ROUND(100000/24000,0)</f>
        <v/>
      </c>
      <c r="F17" s="7" t="inlineStr">
        <is>
          <t>回／日</t>
        </is>
      </c>
      <c r="G17" s="20" t="n">
        <v>0</v>
      </c>
      <c r="H17" s="7">
        <f>IF(ABS(D17-E17)&lt;=G17+1E-9,"一致","不一致")</f>
        <v/>
      </c>
      <c r="I17" s="5" t="inlineStr"/>
    </row>
    <row r="18" ht="15.5" customHeight="1">
      <c r="A18" s="7" t="n">
        <v>14</v>
      </c>
      <c r="B18" s="5" t="inlineStr">
        <is>
          <t>省力化</t>
        </is>
      </c>
      <c r="C18" s="5" t="inlineStr">
        <is>
          <t>遅番の使用パレット（1品種の日）</t>
        </is>
      </c>
      <c r="D18" s="21" t="n">
        <v>50</v>
      </c>
      <c r="E18" s="22">
        <f>150*420/1200</f>
        <v/>
      </c>
      <c r="F18" s="7" t="inlineStr">
        <is>
          <t>枚</t>
        </is>
      </c>
      <c r="G18" s="22" t="n">
        <v>5</v>
      </c>
      <c r="H18" s="7">
        <f>IF(ABS(D18-E18)&lt;=G18+1E-9,"一致","不一致")</f>
        <v/>
      </c>
      <c r="I18" s="5" t="inlineStr">
        <is>
          <t>2章②注記「約50枚」。新規No.7（形状別保有との関係）</t>
        </is>
      </c>
    </row>
    <row r="19" ht="15.5" customHeight="1">
      <c r="A19" s="7" t="n">
        <v>15</v>
      </c>
      <c r="B19" s="5" t="inlineStr">
        <is>
          <t>投資回収</t>
        </is>
      </c>
      <c r="C19" s="5" t="inlineStr">
        <is>
          <t>人件費単価</t>
        </is>
      </c>
      <c r="D19" s="15" t="n">
        <v>2773</v>
      </c>
      <c r="E19" s="16">
        <f>1021940577/(188*245*8)</f>
        <v/>
      </c>
      <c r="F19" s="7" t="inlineStr">
        <is>
          <t>円／時</t>
        </is>
      </c>
      <c r="G19" s="16" t="n">
        <v>1</v>
      </c>
      <c r="H19" s="7">
        <f>IF(ABS(D19-E19)&lt;=G19+1E-9,"一致","不一致")</f>
        <v/>
      </c>
      <c r="I19" s="5" t="inlineStr"/>
    </row>
    <row r="20" ht="15.5" customHeight="1">
      <c r="A20" s="7" t="n">
        <v>16</v>
      </c>
      <c r="B20" s="5" t="inlineStr">
        <is>
          <t>投資回収</t>
        </is>
      </c>
      <c r="C20" s="5" t="inlineStr">
        <is>
          <t>労働時間削減額</t>
        </is>
      </c>
      <c r="D20" s="15" t="n">
        <v>9047144</v>
      </c>
      <c r="E20" s="16">
        <f>799/60*245*2773</f>
        <v/>
      </c>
      <c r="F20" s="7" t="inlineStr">
        <is>
          <t>円／年</t>
        </is>
      </c>
      <c r="G20" s="16" t="n">
        <v>5</v>
      </c>
      <c r="H20" s="7">
        <f>IF(ABS(D20-E20)&lt;=G20+1E-9,"一致","不一致")</f>
        <v/>
      </c>
      <c r="I20" s="5" t="inlineStr"/>
    </row>
    <row r="21" ht="15.5" customHeight="1">
      <c r="A21" s="7" t="n">
        <v>17</v>
      </c>
      <c r="B21" s="5" t="inlineStr">
        <is>
          <t>投資回収</t>
        </is>
      </c>
      <c r="C21" s="5" t="inlineStr">
        <is>
          <t>投資回収期間（主値）</t>
        </is>
      </c>
      <c r="D21" s="17" t="n">
        <v>0.33</v>
      </c>
      <c r="E21" s="18">
        <f>ROUND(101200000/(9047144+297960717),2)</f>
        <v/>
      </c>
      <c r="F21" s="7" t="inlineStr">
        <is>
          <t>年</t>
        </is>
      </c>
      <c r="G21" s="18" t="n">
        <v>0</v>
      </c>
      <c r="H21" s="7">
        <f>IF(ABS(D21-E21)&lt;=G21+1E-9,"一致","不一致")</f>
        <v/>
      </c>
      <c r="I21" s="5" t="inlineStr">
        <is>
          <t>前回No.1：方針どおり維持</t>
        </is>
      </c>
    </row>
    <row r="22" ht="15.5" customHeight="1">
      <c r="A22" s="7" t="n">
        <v>18</v>
      </c>
      <c r="B22" s="5" t="inlineStr">
        <is>
          <t>投資回収</t>
        </is>
      </c>
      <c r="C22" s="5" t="inlineStr">
        <is>
          <t>投資回収期間（保守ケース）</t>
        </is>
      </c>
      <c r="D22" s="17" t="n">
        <v>0.93</v>
      </c>
      <c r="E22" s="18">
        <f>ROUND(101200000/(9047144+297960717/3),2)</f>
        <v/>
      </c>
      <c r="F22" s="7" t="inlineStr">
        <is>
          <t>年</t>
        </is>
      </c>
      <c r="G22" s="18" t="n">
        <v>0</v>
      </c>
      <c r="H22" s="7">
        <f>IF(ABS(D22-E22)&lt;=G22+1E-9,"一致","不一致")</f>
        <v/>
      </c>
      <c r="I22" s="5" t="inlineStr"/>
    </row>
    <row r="23" ht="15.5" customHeight="1">
      <c r="A23" s="7" t="n">
        <v>19</v>
      </c>
      <c r="B23" s="5" t="inlineStr">
        <is>
          <t>投資回収</t>
        </is>
      </c>
      <c r="C23" s="5" t="inlineStr">
        <is>
          <t>全社の付加価値率</t>
        </is>
      </c>
      <c r="D23" s="23" t="n">
        <v>0.1366</v>
      </c>
      <c r="E23" s="24">
        <f>ROUND(1525628095/11168904537,4)</f>
        <v/>
      </c>
      <c r="F23" s="7" t="inlineStr"/>
      <c r="G23" s="24" t="n">
        <v>0</v>
      </c>
      <c r="H23" s="7">
        <f>IF(ABS(D23-E23)&lt;=G23+1E-9,"一致","不一致")</f>
        <v/>
      </c>
      <c r="I23" s="5" t="inlineStr">
        <is>
          <t>2-2②・別紙3</t>
        </is>
      </c>
    </row>
    <row r="24" ht="15.5" customHeight="1">
      <c r="A24" s="7" t="n">
        <v>20</v>
      </c>
      <c r="B24" s="5" t="inlineStr">
        <is>
          <t>投資回収</t>
        </is>
      </c>
      <c r="C24" s="5" t="inlineStr">
        <is>
          <t>Gライン単独の付加価値額</t>
        </is>
      </c>
      <c r="D24" s="15" t="n">
        <v>27320000</v>
      </c>
      <c r="E24" s="16">
        <f>200000000*1525628095/11168904537</f>
        <v/>
      </c>
      <c r="F24" s="7" t="inlineStr">
        <is>
          <t>円／年</t>
        </is>
      </c>
      <c r="G24" s="16" t="n">
        <v>20000</v>
      </c>
      <c r="H24" s="7">
        <f>IF(ABS(D24-E24)&lt;=G24+1E-9,"一致","不一致")</f>
        <v/>
      </c>
      <c r="I24" s="5" t="inlineStr"/>
    </row>
    <row r="25" ht="15.5" customHeight="1">
      <c r="A25" s="7" t="n">
        <v>21</v>
      </c>
      <c r="B25" s="5" t="inlineStr">
        <is>
          <t>投資回収</t>
        </is>
      </c>
      <c r="C25" s="5" t="inlineStr">
        <is>
          <t>Gライン単独の回収期間</t>
        </is>
      </c>
      <c r="D25" s="17" t="n">
        <v>2.78</v>
      </c>
      <c r="E25" s="18">
        <f>ROUND(101200000/(9047144+27320000),2)</f>
        <v/>
      </c>
      <c r="F25" s="7" t="inlineStr">
        <is>
          <t>年</t>
        </is>
      </c>
      <c r="G25" s="18" t="n">
        <v>0</v>
      </c>
      <c r="H25" s="7">
        <f>IF(ABS(D25-E25)&lt;=G25+1E-9,"一致","不一致")</f>
        <v/>
      </c>
      <c r="I25" s="5" t="inlineStr"/>
    </row>
    <row r="26" ht="15.5" customHeight="1">
      <c r="A26" s="7" t="n">
        <v>22</v>
      </c>
      <c r="B26" s="5" t="inlineStr">
        <is>
          <t>投資回収</t>
        </is>
      </c>
      <c r="C26" s="5" t="inlineStr">
        <is>
          <t>投資額÷2026年3月期営業利益</t>
        </is>
      </c>
      <c r="D26" s="25" t="n">
        <v>0.45</v>
      </c>
      <c r="E26" s="26">
        <f>ROUND(92000000/204823050,2)</f>
        <v/>
      </c>
      <c r="F26" s="7" t="inlineStr"/>
      <c r="G26" s="26" t="n">
        <v>0</v>
      </c>
      <c r="H26" s="7">
        <f>IF(ABS(D26-E26)&lt;=G26+1E-9,"一致","不一致")</f>
        <v/>
      </c>
      <c r="I26" s="5" t="inlineStr">
        <is>
          <t>1-3③「約45%」</t>
        </is>
      </c>
    </row>
    <row r="27" ht="15.5" customHeight="1">
      <c r="A27" s="7" t="n">
        <v>23</v>
      </c>
      <c r="B27" s="5" t="inlineStr">
        <is>
          <t>売上</t>
        </is>
      </c>
      <c r="C27" s="5" t="inlineStr">
        <is>
          <t>供給待ち停止の解消による余地</t>
        </is>
      </c>
      <c r="D27" s="15" t="n">
        <v>1100000</v>
      </c>
      <c r="E27" s="16">
        <f>30*150*245</f>
        <v/>
      </c>
      <c r="F27" s="7" t="inlineStr">
        <is>
          <t>袋／年</t>
        </is>
      </c>
      <c r="G27" s="16" t="n">
        <v>10000</v>
      </c>
      <c r="H27" s="7">
        <f>IF(ABS(D27-E27)&lt;=G27+1E-9,"一致","不一致")</f>
        <v/>
      </c>
      <c r="I27" s="5" t="inlineStr">
        <is>
          <t>4章【1】「年約110万袋」</t>
        </is>
      </c>
    </row>
    <row r="28" ht="15.5" customHeight="1">
      <c r="A28" s="7" t="n">
        <v>24</v>
      </c>
      <c r="B28" s="5" t="inlineStr">
        <is>
          <t>売上</t>
        </is>
      </c>
      <c r="C28" s="5" t="inlineStr">
        <is>
          <t>土曜稼働（月2日）による余地</t>
        </is>
      </c>
      <c r="D28" s="15" t="n">
        <v>3600000</v>
      </c>
      <c r="E28" s="16">
        <f>2*12*150000</f>
        <v/>
      </c>
      <c r="F28" s="7" t="inlineStr">
        <is>
          <t>袋／年</t>
        </is>
      </c>
      <c r="G28" s="16" t="n">
        <v>0</v>
      </c>
      <c r="H28" s="7">
        <f>IF(ABS(D28-E28)&lt;=G28+1E-9,"一致","不一致")</f>
        <v/>
      </c>
      <c r="I28" s="5" t="inlineStr">
        <is>
          <t>4章【1】「年360万袋」</t>
        </is>
      </c>
    </row>
    <row r="29" ht="15.5" customHeight="1">
      <c r="A29" s="7" t="n">
        <v>25</v>
      </c>
      <c r="B29" s="5" t="inlineStr">
        <is>
          <t>売上</t>
        </is>
      </c>
      <c r="C29" s="5" t="inlineStr">
        <is>
          <t>余地の合計</t>
        </is>
      </c>
      <c r="D29" s="15" t="n">
        <v>4700000</v>
      </c>
      <c r="E29" s="16">
        <f>30*150*245+2*12*150000</f>
        <v/>
      </c>
      <c r="F29" s="7" t="inlineStr">
        <is>
          <t>袋／年</t>
        </is>
      </c>
      <c r="G29" s="16" t="n">
        <v>10000</v>
      </c>
      <c r="H29" s="7">
        <f>IF(ABS(D29-E29)&lt;=G29+1E-9,"一致","不一致")</f>
        <v/>
      </c>
      <c r="I29" s="5" t="inlineStr">
        <is>
          <t>2-2①・4章【1】「年約470万袋」</t>
        </is>
      </c>
    </row>
    <row r="30" ht="15.5" customHeight="1">
      <c r="A30" s="7" t="n">
        <v>26</v>
      </c>
      <c r="B30" s="5" t="inlineStr">
        <is>
          <t>売上</t>
        </is>
      </c>
      <c r="C30" s="5" t="inlineStr">
        <is>
          <t>断った案件の約半分（金額）</t>
        </is>
      </c>
      <c r="D30" s="15" t="n">
        <v>200000000</v>
      </c>
      <c r="E30" s="16">
        <f>8000000/2*50</f>
        <v/>
      </c>
      <c r="F30" s="7" t="inlineStr">
        <is>
          <t>円</t>
        </is>
      </c>
      <c r="G30" s="16" t="n">
        <v>0</v>
      </c>
      <c r="H30" s="7">
        <f>IF(ABS(D30-E30)&lt;=G30+1E-9,"一致","不一致")</f>
        <v/>
      </c>
      <c r="I30" s="5" t="inlineStr"/>
    </row>
    <row r="31" ht="15.5" customHeight="1">
      <c r="A31" s="7" t="n">
        <v>27</v>
      </c>
      <c r="B31" s="5" t="inlineStr">
        <is>
          <t>売上</t>
        </is>
      </c>
      <c r="C31" s="5" t="inlineStr">
        <is>
          <t>価格転嫁+1.5%（1年目）</t>
        </is>
      </c>
      <c r="D31" s="15" t="n">
        <v>170000000</v>
      </c>
      <c r="E31" s="16">
        <f>11506484677*0.015</f>
        <v/>
      </c>
      <c r="F31" s="7" t="inlineStr">
        <is>
          <t>円</t>
        </is>
      </c>
      <c r="G31" s="16" t="n">
        <v>5000000</v>
      </c>
      <c r="H31" s="7">
        <f>IF(ABS(D31-E31)&lt;=G31+1E-9,"一致","不一致")</f>
        <v/>
      </c>
      <c r="I31" s="5" t="inlineStr">
        <is>
          <t>4章【1】「約1.7億円」</t>
        </is>
      </c>
    </row>
    <row r="32" ht="15.5" customHeight="1">
      <c r="A32" s="7" t="n">
        <v>28</v>
      </c>
      <c r="B32" s="5" t="inlineStr">
        <is>
          <t>売上</t>
        </is>
      </c>
      <c r="C32" s="5" t="inlineStr">
        <is>
          <t>1年目の増収額</t>
        </is>
      </c>
      <c r="D32" s="15" t="n">
        <v>460000000</v>
      </c>
      <c r="E32" s="16">
        <f>11966744064-11506484677</f>
        <v/>
      </c>
      <c r="F32" s="7" t="inlineStr">
        <is>
          <t>円</t>
        </is>
      </c>
      <c r="G32" s="16" t="n">
        <v>1000000</v>
      </c>
      <c r="H32" s="7">
        <f>IF(ABS(D32-E32)&lt;=G32+1E-9,"一致","不一致")</f>
        <v/>
      </c>
      <c r="I32" s="5" t="inlineStr">
        <is>
          <t>内訳 2億＋1.7億＋0.9億＝4.6億</t>
        </is>
      </c>
    </row>
    <row r="33" ht="15.5" customHeight="1">
      <c r="A33" s="7" t="n">
        <v>29</v>
      </c>
      <c r="B33" s="5" t="inlineStr">
        <is>
          <t>売上</t>
        </is>
      </c>
      <c r="C33" s="5" t="inlineStr">
        <is>
          <t>1年目と2025年3月期の差</t>
        </is>
      </c>
      <c r="D33" s="15" t="n">
        <v>330000000</v>
      </c>
      <c r="E33" s="16">
        <f>11966744064-11640761439</f>
        <v/>
      </c>
      <c r="F33" s="7" t="inlineStr">
        <is>
          <t>円</t>
        </is>
      </c>
      <c r="G33" s="16" t="n">
        <v>5000000</v>
      </c>
      <c r="H33" s="7">
        <f>IF(ABS(D33-E33)&lt;=G33+1E-9,"一致","不一致")</f>
        <v/>
      </c>
      <c r="I33" s="5" t="inlineStr">
        <is>
          <t>4章【1】③「約3.3億円」</t>
        </is>
      </c>
    </row>
    <row r="34" ht="15.5" customHeight="1">
      <c r="A34" s="7" t="n">
        <v>30</v>
      </c>
      <c r="B34" s="5" t="inlineStr">
        <is>
          <t>売上</t>
        </is>
      </c>
      <c r="C34" s="5" t="inlineStr">
        <is>
          <t>売上高の伸び（1年目）</t>
        </is>
      </c>
      <c r="D34" s="23" t="n">
        <v>0.04</v>
      </c>
      <c r="E34" s="24">
        <f>ROUND(11966744064/11506484677-1,4)</f>
        <v/>
      </c>
      <c r="F34" s="7" t="inlineStr"/>
      <c r="G34" s="24" t="n">
        <v>0</v>
      </c>
      <c r="H34" s="7">
        <f>IF(ABS(D34-E34)&lt;=G34+1E-9,"一致","不一致")</f>
        <v/>
      </c>
      <c r="I34" s="5" t="inlineStr"/>
    </row>
    <row r="35" ht="15.5" customHeight="1">
      <c r="A35" s="7" t="n">
        <v>31</v>
      </c>
      <c r="B35" s="5" t="inlineStr">
        <is>
          <t>売上</t>
        </is>
      </c>
      <c r="C35" s="5" t="inlineStr">
        <is>
          <t>受託製造の構成比</t>
        </is>
      </c>
      <c r="D35" s="27" t="n">
        <v>0.835</v>
      </c>
      <c r="E35" s="28">
        <f>ROUND(9320/11168,3)</f>
        <v/>
      </c>
      <c r="F35" s="7" t="inlineStr"/>
      <c r="G35" s="28" t="n">
        <v>0</v>
      </c>
      <c r="H35" s="7">
        <f>IF(ABS(D35-E35)&lt;=G35+1E-9,"一致","不一致")</f>
        <v/>
      </c>
      <c r="I35" s="5" t="inlineStr">
        <is>
          <t>1．事業内容①</t>
        </is>
      </c>
    </row>
    <row r="36" ht="15.5" customHeight="1">
      <c r="A36" s="7" t="n">
        <v>32</v>
      </c>
      <c r="B36" s="5" t="inlineStr">
        <is>
          <t>売上</t>
        </is>
      </c>
      <c r="C36" s="5" t="inlineStr">
        <is>
          <t>バランス部門の構成比</t>
        </is>
      </c>
      <c r="D36" s="27" t="n">
        <v>0.131</v>
      </c>
      <c r="E36" s="28">
        <f>ROUND(1463/11168,3)</f>
        <v/>
      </c>
      <c r="F36" s="7" t="inlineStr"/>
      <c r="G36" s="28" t="n">
        <v>0</v>
      </c>
      <c r="H36" s="7">
        <f>IF(ABS(D36-E36)&lt;=G36+1E-9,"一致","不一致")</f>
        <v/>
      </c>
      <c r="I36" s="5" t="inlineStr"/>
    </row>
    <row r="37" ht="15.5" customHeight="1">
      <c r="A37" s="7" t="n">
        <v>33</v>
      </c>
      <c r="B37" s="5" t="inlineStr">
        <is>
          <t>売上</t>
        </is>
      </c>
      <c r="C37" s="5" t="inlineStr">
        <is>
          <t>自社商品の構成比</t>
        </is>
      </c>
      <c r="D37" s="27" t="n">
        <v>0.034</v>
      </c>
      <c r="E37" s="28">
        <f>ROUND(385/11168,3)</f>
        <v/>
      </c>
      <c r="F37" s="7" t="inlineStr"/>
      <c r="G37" s="28" t="n">
        <v>0</v>
      </c>
      <c r="H37" s="7">
        <f>IF(ABS(D37-E37)&lt;=G37+1E-9,"一致","不一致")</f>
        <v/>
      </c>
      <c r="I37" s="5" t="inlineStr"/>
    </row>
    <row r="38" ht="15.5" customHeight="1">
      <c r="A38" s="7" t="n">
        <v>34</v>
      </c>
      <c r="B38" s="5" t="inlineStr">
        <is>
          <t>原価</t>
        </is>
      </c>
      <c r="C38" s="5" t="inlineStr">
        <is>
          <t>原価率（基準年度）</t>
        </is>
      </c>
      <c r="D38" s="23" t="n">
        <v>0.905</v>
      </c>
      <c r="E38" s="24">
        <f>ROUND(10413368633/11506484677,4)</f>
        <v/>
      </c>
      <c r="F38" s="7" t="inlineStr"/>
      <c r="G38" s="24" t="n">
        <v>0</v>
      </c>
      <c r="H38" s="7">
        <f>IF(ABS(D38-E38)&lt;=G38+1E-9,"一致","不一致")</f>
        <v/>
      </c>
      <c r="I38" s="5" t="inlineStr"/>
    </row>
    <row r="39" ht="15.5" customHeight="1">
      <c r="A39" s="7" t="n">
        <v>35</v>
      </c>
      <c r="B39" s="5" t="inlineStr">
        <is>
          <t>原価</t>
        </is>
      </c>
      <c r="C39" s="5" t="inlineStr">
        <is>
          <t>原価率（3年目）</t>
        </is>
      </c>
      <c r="D39" s="23" t="n">
        <v>0.8975</v>
      </c>
      <c r="E39" s="24">
        <f>ROUND(11616549266/12943230380,4)</f>
        <v/>
      </c>
      <c r="F39" s="7" t="inlineStr"/>
      <c r="G39" s="24" t="n">
        <v>0</v>
      </c>
      <c r="H39" s="7">
        <f>IF(ABS(D39-E39)&lt;=G39+1E-9,"一致","不一致")</f>
        <v/>
      </c>
      <c r="I39" s="5" t="inlineStr"/>
    </row>
    <row r="40" ht="15.5" customHeight="1">
      <c r="A40" s="7" t="n">
        <v>36</v>
      </c>
      <c r="B40" s="5" t="inlineStr">
        <is>
          <t>原価</t>
        </is>
      </c>
      <c r="C40" s="5" t="inlineStr">
        <is>
          <t>ODM比率（3年目）</t>
        </is>
      </c>
      <c r="D40" s="27" t="n">
        <v>0.145</v>
      </c>
      <c r="E40" s="28">
        <f>0.10+0.012+0.0165*2</f>
        <v/>
      </c>
      <c r="F40" s="7" t="inlineStr"/>
      <c r="G40" s="28" t="n">
        <v>0.0001</v>
      </c>
      <c r="H40" s="7">
        <f>IF(ABS(D40-E40)&lt;=G40+1E-9,"一致","不一致")</f>
        <v/>
      </c>
      <c r="I40" s="5" t="inlineStr">
        <is>
          <t>4章【2】：約10%＋1年目1.2pt＋2・3年目各1.65pt</t>
        </is>
      </c>
    </row>
    <row r="41" ht="15.5" customHeight="1">
      <c r="A41" s="7" t="n">
        <v>37</v>
      </c>
      <c r="B41" s="5" t="inlineStr">
        <is>
          <t>原価</t>
        </is>
      </c>
      <c r="C41" s="5" t="inlineStr">
        <is>
          <t>ODMによる改善（1年目）</t>
        </is>
      </c>
      <c r="D41" s="17" t="n">
        <v>0.24</v>
      </c>
      <c r="E41" s="18">
        <f>1.2*0.2</f>
        <v/>
      </c>
      <c r="F41" s="7" t="inlineStr">
        <is>
          <t>pt</t>
        </is>
      </c>
      <c r="G41" s="18" t="n">
        <v>0.001</v>
      </c>
      <c r="H41" s="7">
        <f>IF(ABS(D41-E41)&lt;=G41+1E-9,"一致","不一致")</f>
        <v/>
      </c>
      <c r="I41" s="5" t="inlineStr">
        <is>
          <t>粗利率差約20pt×1.2pt</t>
        </is>
      </c>
    </row>
    <row r="42" ht="15.5" customHeight="1">
      <c r="A42" s="7" t="n">
        <v>38</v>
      </c>
      <c r="B42" s="5" t="inlineStr">
        <is>
          <t>原価</t>
        </is>
      </c>
      <c r="C42" s="5" t="inlineStr">
        <is>
          <t>ODMによる改善（2・3年目）</t>
        </is>
      </c>
      <c r="D42" s="17" t="n">
        <v>0.33</v>
      </c>
      <c r="E42" s="18">
        <f>1.65*0.2</f>
        <v/>
      </c>
      <c r="F42" s="7" t="inlineStr">
        <is>
          <t>pt</t>
        </is>
      </c>
      <c r="G42" s="18" t="n">
        <v>0.001</v>
      </c>
      <c r="H42" s="7">
        <f>IF(ABS(D42-E42)&lt;=G42+1E-9,"一致","不一致")</f>
        <v/>
      </c>
      <c r="I42" s="5" t="inlineStr">
        <is>
          <t>粗利率差約20pt×1.65pt</t>
        </is>
      </c>
    </row>
    <row r="43" ht="28" customHeight="1">
      <c r="A43" s="7" t="n">
        <v>39</v>
      </c>
      <c r="B43" s="5" t="inlineStr">
        <is>
          <t>原価</t>
        </is>
      </c>
      <c r="C43" s="5" t="inlineStr">
        <is>
          <t>1年目の改善（最小）が0.25pt以上か</t>
        </is>
      </c>
      <c r="D43" s="17" t="n">
        <v>0.25</v>
      </c>
      <c r="E43" s="18">
        <f>MIN(0.25,0.24+0.05+0.07-0.09)</f>
        <v/>
      </c>
      <c r="F43" s="7" t="inlineStr">
        <is>
          <t>pt</t>
        </is>
      </c>
      <c r="G43" s="18" t="n">
        <v>0.001</v>
      </c>
      <c r="H43" s="7">
        <f>IF(ABS(D43-E43)&lt;=G43+1E-9,"一致","不一致")</f>
        <v/>
      </c>
      <c r="I43" s="5" t="inlineStr">
        <is>
          <t>ODM＋価格転嫁＋労務費抑制−賃上げの上限。0.27ptで0.25ptを満たせば「一致」</t>
        </is>
      </c>
    </row>
    <row r="44" ht="28" customHeight="1">
      <c r="A44" s="7" t="n">
        <v>40</v>
      </c>
      <c r="B44" s="5" t="inlineStr">
        <is>
          <t>原価</t>
        </is>
      </c>
      <c r="C44" s="5" t="inlineStr">
        <is>
          <t>2・3年目の改善（最小）が0.25pt以上か</t>
        </is>
      </c>
      <c r="D44" s="17" t="n">
        <v>0.25</v>
      </c>
      <c r="E44" s="18">
        <f>MIN(0.25,0.33+0.05-0.09)</f>
        <v/>
      </c>
      <c r="F44" s="7" t="inlineStr">
        <is>
          <t>pt</t>
        </is>
      </c>
      <c r="G44" s="18" t="n">
        <v>0.001</v>
      </c>
      <c r="H44" s="7">
        <f>IF(ABS(D44-E44)&lt;=G44+1E-9,"一致","不一致")</f>
        <v/>
      </c>
      <c r="I44" s="5" t="inlineStr">
        <is>
          <t>0.29ptで0.25ptを満たせば「一致」</t>
        </is>
      </c>
    </row>
    <row r="45" ht="28" customHeight="1">
      <c r="A45" s="7" t="n">
        <v>41</v>
      </c>
      <c r="B45" s="5" t="inlineStr">
        <is>
          <t>売上</t>
        </is>
      </c>
      <c r="C45" s="5" t="inlineStr">
        <is>
          <t>土曜稼働の休日出勤費用（概算）</t>
        </is>
      </c>
      <c r="D45" s="15" t="n">
        <v>11000000</v>
      </c>
      <c r="E45" s="16">
        <f>15*24*8*2773*1.35</f>
        <v/>
      </c>
      <c r="F45" s="7" t="inlineStr">
        <is>
          <t>円／年</t>
        </is>
      </c>
      <c r="G45" s="16" t="n">
        <v>300000</v>
      </c>
      <c r="H45" s="7">
        <f>IF(ABS(D45-E45)&lt;=G45+1E-9,"一致","不一致")</f>
        <v/>
      </c>
      <c r="I45" s="5" t="inlineStr">
        <is>
          <t>新規No.1の概算（約15名×24日×8時間×2,773円×1.35）。記載値は概算</t>
        </is>
      </c>
    </row>
    <row r="46" ht="15.5" customHeight="1">
      <c r="A46" s="7" t="n">
        <v>42</v>
      </c>
      <c r="B46" s="5" t="inlineStr">
        <is>
          <t>付加価値</t>
        </is>
      </c>
      <c r="C46" s="5" t="inlineStr">
        <is>
          <t>付加価値額（基準年度）</t>
        </is>
      </c>
      <c r="D46" s="15" t="n">
        <v>1593327430</v>
      </c>
      <c r="E46" s="16">
        <f>214284593+1080178369+298864468</f>
        <v/>
      </c>
      <c r="F46" s="7" t="inlineStr">
        <is>
          <t>円</t>
        </is>
      </c>
      <c r="G46" s="16" t="n">
        <v>0</v>
      </c>
      <c r="H46" s="7">
        <f>IF(ABS(D46-E46)&lt;=G46+1E-9,"一致","不一致")</f>
        <v/>
      </c>
      <c r="I46" s="5" t="inlineStr"/>
    </row>
    <row r="47" ht="15.5" customHeight="1">
      <c r="A47" s="7" t="n">
        <v>43</v>
      </c>
      <c r="B47" s="5" t="inlineStr">
        <is>
          <t>付加価値</t>
        </is>
      </c>
      <c r="C47" s="5" t="inlineStr">
        <is>
          <t>付加価値額（1年目）</t>
        </is>
      </c>
      <c r="D47" s="15" t="n">
        <v>1692179517</v>
      </c>
      <c r="E47" s="16">
        <f>251024522+1133090527+308064468</f>
        <v/>
      </c>
      <c r="F47" s="7" t="inlineStr">
        <is>
          <t>円</t>
        </is>
      </c>
      <c r="G47" s="16" t="n">
        <v>0</v>
      </c>
      <c r="H47" s="7">
        <f>IF(ABS(D47-E47)&lt;=G47+1E-9,"一致","不一致")</f>
        <v/>
      </c>
      <c r="I47" s="5" t="inlineStr"/>
    </row>
    <row r="48" ht="15.5" customHeight="1">
      <c r="A48" s="7" t="n">
        <v>44</v>
      </c>
      <c r="B48" s="5" t="inlineStr">
        <is>
          <t>付加価値</t>
        </is>
      </c>
      <c r="C48" s="5" t="inlineStr">
        <is>
          <t>付加価値額（2年目）</t>
        </is>
      </c>
      <c r="D48" s="15" t="n">
        <v>1791169755</v>
      </c>
      <c r="E48" s="16">
        <f>288637218+1194468069+308064468</f>
        <v/>
      </c>
      <c r="F48" s="7" t="inlineStr">
        <is>
          <t>円</t>
        </is>
      </c>
      <c r="G48" s="16" t="n">
        <v>0</v>
      </c>
      <c r="H48" s="7">
        <f>IF(ABS(D48-E48)&lt;=G48+1E-9,"一致","不一致")</f>
        <v/>
      </c>
      <c r="I48" s="5" t="inlineStr"/>
    </row>
    <row r="49" ht="15.5" customHeight="1">
      <c r="A49" s="7" t="n">
        <v>45</v>
      </c>
      <c r="B49" s="5" t="inlineStr">
        <is>
          <t>付加価値</t>
        </is>
      </c>
      <c r="C49" s="5" t="inlineStr">
        <is>
          <t>付加価値額（3年目）</t>
        </is>
      </c>
      <c r="D49" s="15" t="n">
        <v>1891288147</v>
      </c>
      <c r="E49" s="16">
        <f>330603724+1252619955+308064468</f>
        <v/>
      </c>
      <c r="F49" s="7" t="inlineStr">
        <is>
          <t>円</t>
        </is>
      </c>
      <c r="G49" s="16" t="n">
        <v>0</v>
      </c>
      <c r="H49" s="7">
        <f>IF(ABS(D49-E49)&lt;=G49+1E-9,"一致","不一致")</f>
        <v/>
      </c>
      <c r="I49" s="5" t="inlineStr"/>
    </row>
    <row r="50" ht="15.5" customHeight="1">
      <c r="A50" s="7" t="n">
        <v>46</v>
      </c>
      <c r="B50" s="5" t="inlineStr">
        <is>
          <t>付加価値</t>
        </is>
      </c>
      <c r="C50" s="5" t="inlineStr">
        <is>
          <t>付加価値額の増加（3年目−基準年度）</t>
        </is>
      </c>
      <c r="D50" s="15" t="n">
        <v>297960717</v>
      </c>
      <c r="E50" s="16">
        <f>1891288147-1593327430</f>
        <v/>
      </c>
      <c r="F50" s="7" t="inlineStr">
        <is>
          <t>円</t>
        </is>
      </c>
      <c r="G50" s="16" t="n">
        <v>0</v>
      </c>
      <c r="H50" s="7">
        <f>IF(ABS(D50-E50)&lt;=G50+1E-9,"一致","不一致")</f>
        <v/>
      </c>
      <c r="I50" s="5" t="inlineStr"/>
    </row>
    <row r="51" ht="15.5" customHeight="1">
      <c r="A51" s="7" t="n">
        <v>47</v>
      </c>
      <c r="B51" s="5" t="inlineStr">
        <is>
          <t>付加価値</t>
        </is>
      </c>
      <c r="C51" s="5" t="inlineStr">
        <is>
          <t>付加価値額の年平均成長率（3年目）</t>
        </is>
      </c>
      <c r="D51" s="23" t="n">
        <v>0.0588</v>
      </c>
      <c r="E51" s="24">
        <f>ROUNDDOWN((1891288147/1593327430)^(1/3)-1,4)</f>
        <v/>
      </c>
      <c r="F51" s="7" t="inlineStr"/>
      <c r="G51" s="24" t="n">
        <v>0</v>
      </c>
      <c r="H51" s="7">
        <f>IF(ABS(D51-E51)&lt;=G51+1E-9,"一致","不一致")</f>
        <v/>
      </c>
      <c r="I51" s="5" t="inlineStr"/>
    </row>
    <row r="52" ht="15.5" customHeight="1">
      <c r="A52" s="7" t="n">
        <v>48</v>
      </c>
      <c r="B52" s="5" t="inlineStr">
        <is>
          <t>付加価値</t>
        </is>
      </c>
      <c r="C52" s="5" t="inlineStr">
        <is>
          <t>営業利益の増加（3年目−基準年度）</t>
        </is>
      </c>
      <c r="D52" s="15" t="n">
        <v>116319131</v>
      </c>
      <c r="E52" s="16">
        <f>330603724-214284593</f>
        <v/>
      </c>
      <c r="F52" s="7" t="inlineStr">
        <is>
          <t>円</t>
        </is>
      </c>
      <c r="G52" s="16" t="n">
        <v>0</v>
      </c>
      <c r="H52" s="7">
        <f>IF(ABS(D52-E52)&lt;=G52+1E-9,"一致","不一致")</f>
        <v/>
      </c>
      <c r="I52" s="5" t="inlineStr"/>
    </row>
    <row r="53" ht="15.5" customHeight="1">
      <c r="A53" s="7" t="n">
        <v>49</v>
      </c>
      <c r="B53" s="5" t="inlineStr">
        <is>
          <t>要件</t>
        </is>
      </c>
      <c r="C53" s="5" t="inlineStr">
        <is>
          <t>労働生産性（基準年度）</t>
        </is>
      </c>
      <c r="D53" s="15" t="n">
        <v>8475145</v>
      </c>
      <c r="E53" s="16">
        <f>1593327430/188</f>
        <v/>
      </c>
      <c r="F53" s="7" t="inlineStr">
        <is>
          <t>円</t>
        </is>
      </c>
      <c r="G53" s="16" t="n">
        <v>1</v>
      </c>
      <c r="H53" s="7">
        <f>IF(ABS(D53-E53)&lt;=G53+1E-9,"一致","不一致")</f>
        <v/>
      </c>
      <c r="I53" s="5" t="inlineStr"/>
    </row>
    <row r="54" ht="15.5" customHeight="1">
      <c r="A54" s="7" t="n">
        <v>50</v>
      </c>
      <c r="B54" s="5" t="inlineStr">
        <is>
          <t>要件</t>
        </is>
      </c>
      <c r="C54" s="5" t="inlineStr">
        <is>
          <t>労働生産性（3年目）</t>
        </is>
      </c>
      <c r="D54" s="15" t="n">
        <v>9551960</v>
      </c>
      <c r="E54" s="16">
        <f>1891288147/198</f>
        <v/>
      </c>
      <c r="F54" s="7" t="inlineStr">
        <is>
          <t>円</t>
        </is>
      </c>
      <c r="G54" s="16" t="n">
        <v>1</v>
      </c>
      <c r="H54" s="7">
        <f>IF(ABS(D54-E54)&lt;=G54+1E-9,"一致","不一致")</f>
        <v/>
      </c>
      <c r="I54" s="5" t="inlineStr"/>
    </row>
    <row r="55" ht="15.5" customHeight="1">
      <c r="A55" s="7" t="n">
        <v>51</v>
      </c>
      <c r="B55" s="5" t="inlineStr">
        <is>
          <t>要件</t>
        </is>
      </c>
      <c r="C55" s="5" t="inlineStr">
        <is>
          <t>労働生産性の年平均成長率（1年目）</t>
        </is>
      </c>
      <c r="D55" s="23" t="n">
        <v>0.0453</v>
      </c>
      <c r="E55" s="24">
        <f>ROUNDDOWN((1692179517/191)/(1593327430/188)-1,4)</f>
        <v/>
      </c>
      <c r="F55" s="7" t="inlineStr"/>
      <c r="G55" s="24" t="n">
        <v>0</v>
      </c>
      <c r="H55" s="7">
        <f>IF(ABS(D55-E55)&lt;=G55+1E-9,"一致","不一致")</f>
        <v/>
      </c>
      <c r="I55" s="5" t="inlineStr">
        <is>
          <t>様式（別紙４）と同じく小数第3位未満を切り捨て</t>
        </is>
      </c>
    </row>
    <row r="56" ht="15.5" customHeight="1">
      <c r="A56" s="7" t="n">
        <v>52</v>
      </c>
      <c r="B56" s="5" t="inlineStr">
        <is>
          <t>要件</t>
        </is>
      </c>
      <c r="C56" s="5" t="inlineStr">
        <is>
          <t>労働生産性の年平均成長率（2年目）</t>
        </is>
      </c>
      <c r="D56" s="23" t="n">
        <v>0.041</v>
      </c>
      <c r="E56" s="24">
        <f>ROUNDDOWN(((1791169755/195)/(1593327430/188))^(1/2)-1,4)</f>
        <v/>
      </c>
      <c r="F56" s="7" t="inlineStr"/>
      <c r="G56" s="24" t="n">
        <v>0</v>
      </c>
      <c r="H56" s="7">
        <f>IF(ABS(D56-E56)&lt;=G56+1E-9,"一致","不一致")</f>
        <v/>
      </c>
      <c r="I56" s="5" t="inlineStr">
        <is>
          <t>同上</t>
        </is>
      </c>
    </row>
    <row r="57" ht="15.5" customHeight="1">
      <c r="A57" s="7" t="n">
        <v>53</v>
      </c>
      <c r="B57" s="5" t="inlineStr">
        <is>
          <t>要件</t>
        </is>
      </c>
      <c r="C57" s="5" t="inlineStr">
        <is>
          <t>労働生産性の年平均成長率（3年目）</t>
        </is>
      </c>
      <c r="D57" s="23" t="n">
        <v>0.0406</v>
      </c>
      <c r="E57" s="24">
        <f>ROUNDDOWN(((1891288147/198)/(1593327430/188))^(1/3)-1,4)</f>
        <v/>
      </c>
      <c r="F57" s="7" t="inlineStr"/>
      <c r="G57" s="24" t="n">
        <v>0</v>
      </c>
      <c r="H57" s="7">
        <f>IF(ABS(D57-E57)&lt;=G57+1E-9,"一致","不一致")</f>
        <v/>
      </c>
      <c r="I57" s="5" t="inlineStr">
        <is>
          <t>同上</t>
        </is>
      </c>
    </row>
    <row r="58" ht="28" customHeight="1">
      <c r="A58" s="7" t="n">
        <v>54</v>
      </c>
      <c r="B58" s="5" t="inlineStr">
        <is>
          <t>要件</t>
        </is>
      </c>
      <c r="C58" s="5" t="inlineStr">
        <is>
          <t>1人当たり給与支給総額（進行期）の伸び</t>
        </is>
      </c>
      <c r="D58" s="23" t="n">
        <v>0.0302</v>
      </c>
      <c r="E58" s="24">
        <f>ROUNDDOWN(4449766/4319298-1,4)</f>
        <v/>
      </c>
      <c r="F58" s="7" t="inlineStr"/>
      <c r="G58" s="24" t="n">
        <v>0</v>
      </c>
      <c r="H58" s="7">
        <f>IF(ABS(D58-E58)&lt;=G58+1E-9,"一致","不一致")</f>
        <v/>
      </c>
      <c r="I58" s="5" t="inlineStr"/>
    </row>
    <row r="59" ht="28" customHeight="1">
      <c r="A59" s="7" t="n">
        <v>55</v>
      </c>
      <c r="B59" s="5" t="inlineStr">
        <is>
          <t>要件</t>
        </is>
      </c>
      <c r="C59" s="5" t="inlineStr">
        <is>
          <t>1人当たり給与支給総額の年平均成長率</t>
        </is>
      </c>
      <c r="D59" s="23" t="n">
        <v>0.0352</v>
      </c>
      <c r="E59" s="24">
        <f>ROUNDDOWN((5085606/4584175)^(1/3)-1,4)</f>
        <v/>
      </c>
      <c r="F59" s="7" t="inlineStr"/>
      <c r="G59" s="24" t="n">
        <v>0</v>
      </c>
      <c r="H59" s="7">
        <f>IF(ABS(D59-E59)&lt;=G59+1E-9,"一致","不一致")</f>
        <v/>
      </c>
      <c r="I59" s="5" t="inlineStr"/>
    </row>
    <row r="60" ht="28" customHeight="1">
      <c r="A60" s="7" t="n">
        <v>56</v>
      </c>
      <c r="B60" s="5" t="inlineStr">
        <is>
          <t>要件</t>
        </is>
      </c>
      <c r="C60" s="5" t="inlineStr">
        <is>
          <t>給与支給総額の増加（3年目−基準年度）</t>
        </is>
      </c>
      <c r="D60" s="15" t="n">
        <v>141615071</v>
      </c>
      <c r="E60" s="16">
        <f>971350746-829735675</f>
        <v/>
      </c>
      <c r="F60" s="7" t="inlineStr">
        <is>
          <t>円</t>
        </is>
      </c>
      <c r="G60" s="16" t="n">
        <v>0</v>
      </c>
      <c r="H60" s="7">
        <f>IF(ABS(D60-E60)&lt;=G60+1E-9,"一致","不一致")</f>
        <v/>
      </c>
      <c r="I60" s="5" t="inlineStr"/>
    </row>
    <row r="61" ht="15.5" customHeight="1">
      <c r="A61" s="7" t="n">
        <v>57</v>
      </c>
      <c r="B61" s="5" t="inlineStr">
        <is>
          <t>要件</t>
        </is>
      </c>
      <c r="C61" s="5" t="inlineStr">
        <is>
          <t>給与支給総額の伸び（進行期）</t>
        </is>
      </c>
      <c r="D61" s="27" t="n">
        <v>0.098</v>
      </c>
      <c r="E61" s="28">
        <f>ROUND(787608582/717003483-1,3)</f>
        <v/>
      </c>
      <c r="F61" s="7" t="inlineStr"/>
      <c r="G61" s="28" t="n">
        <v>0</v>
      </c>
      <c r="H61" s="7">
        <f>IF(ABS(D61-E61)&lt;=G61+1E-9,"一致","不一致")</f>
        <v/>
      </c>
      <c r="I61" s="5" t="inlineStr">
        <is>
          <t>4章【3】「+9.8%」</t>
        </is>
      </c>
    </row>
    <row r="62" ht="15.5" customHeight="1">
      <c r="A62" s="7" t="n">
        <v>58</v>
      </c>
      <c r="B62" s="5" t="inlineStr">
        <is>
          <t>要件</t>
        </is>
      </c>
      <c r="C62" s="5" t="inlineStr">
        <is>
          <t>人件費の伸び（進行期）</t>
        </is>
      </c>
      <c r="D62" s="27" t="n">
        <v>0.007</v>
      </c>
      <c r="E62" s="28">
        <f>ROUND(1028861760/1021940577-1,3)</f>
        <v/>
      </c>
      <c r="F62" s="7" t="inlineStr"/>
      <c r="G62" s="28" t="n">
        <v>0</v>
      </c>
      <c r="H62" s="7">
        <f>IF(ABS(D62-E62)&lt;=G62+1E-9,"一致","不一致")</f>
        <v/>
      </c>
      <c r="I62" s="5" t="inlineStr">
        <is>
          <t>4章【3】「+0.7%」</t>
        </is>
      </c>
    </row>
    <row r="63" ht="15.5" customHeight="1">
      <c r="A63" s="7" t="n">
        <v>59</v>
      </c>
      <c r="B63" s="5" t="inlineStr">
        <is>
          <t>要件</t>
        </is>
      </c>
      <c r="C63" s="5" t="inlineStr">
        <is>
          <t>労働分配率（実績）</t>
        </is>
      </c>
      <c r="D63" s="27" t="n">
        <v>0.67</v>
      </c>
      <c r="E63" s="28">
        <f>ROUND(1021940577/1525628095,3)</f>
        <v/>
      </c>
      <c r="F63" s="7" t="inlineStr"/>
      <c r="G63" s="28" t="n">
        <v>0</v>
      </c>
      <c r="H63" s="7">
        <f>IF(ABS(D63-E63)&lt;=G63+1E-9,"一致","不一致")</f>
        <v/>
      </c>
      <c r="I63" s="5" t="inlineStr"/>
    </row>
    <row r="64" ht="15.5" customHeight="1">
      <c r="A64" s="7" t="n">
        <v>60</v>
      </c>
      <c r="B64" s="5" t="inlineStr">
        <is>
          <t>要件</t>
        </is>
      </c>
      <c r="C64" s="5" t="inlineStr">
        <is>
          <t>労働分配率（基準年度）</t>
        </is>
      </c>
      <c r="D64" s="27" t="n">
        <v>0.678</v>
      </c>
      <c r="E64" s="28">
        <f>ROUND(1080178369/1593327430,3)</f>
        <v/>
      </c>
      <c r="F64" s="7" t="inlineStr"/>
      <c r="G64" s="28" t="n">
        <v>0</v>
      </c>
      <c r="H64" s="7">
        <f>IF(ABS(D64-E64)&lt;=G64+1E-9,"一致","不一致")</f>
        <v/>
      </c>
      <c r="I64" s="5" t="inlineStr"/>
    </row>
    <row r="65" ht="15.5" customHeight="1">
      <c r="A65" s="7" t="n">
        <v>61</v>
      </c>
      <c r="B65" s="5" t="inlineStr">
        <is>
          <t>要件</t>
        </is>
      </c>
      <c r="C65" s="5" t="inlineStr">
        <is>
          <t>労働分配率（3年目）</t>
        </is>
      </c>
      <c r="D65" s="27" t="n">
        <v>0.662</v>
      </c>
      <c r="E65" s="28">
        <f>ROUND(1252619955/1891288147,3)</f>
        <v/>
      </c>
      <c r="F65" s="7" t="inlineStr"/>
      <c r="G65" s="28" t="n">
        <v>0</v>
      </c>
      <c r="H65" s="7">
        <f>IF(ABS(D65-E65)&lt;=G65+1E-9,"一致","不一致")</f>
        <v/>
      </c>
      <c r="I65" s="5" t="inlineStr"/>
    </row>
    <row r="66" ht="15.5" customHeight="1">
      <c r="A66" s="7" t="n">
        <v>62</v>
      </c>
      <c r="B66" s="5" t="inlineStr">
        <is>
          <t>要件</t>
        </is>
      </c>
      <c r="C66" s="5" t="inlineStr">
        <is>
          <t>事業場内最低賃金の目標</t>
        </is>
      </c>
      <c r="D66" s="15" t="n">
        <v>1149</v>
      </c>
      <c r="E66" s="16">
        <f>1119+30</f>
        <v/>
      </c>
      <c r="F66" s="7" t="inlineStr">
        <is>
          <t>円</t>
        </is>
      </c>
      <c r="G66" s="16" t="n">
        <v>0</v>
      </c>
      <c r="H66" s="7">
        <f>IF(ABS(D66-E66)&lt;=G66+1E-9,"一致","不一致")</f>
        <v/>
      </c>
      <c r="I66" s="5" t="inlineStr">
        <is>
          <t>3-1③「1,150円以上（1,149円以上）」</t>
        </is>
      </c>
    </row>
    <row r="67" ht="15.5" customHeight="1">
      <c r="A67" s="7" t="n">
        <v>63</v>
      </c>
      <c r="B67" s="5" t="inlineStr">
        <is>
          <t>要件</t>
        </is>
      </c>
      <c r="C67" s="5" t="inlineStr">
        <is>
          <t>県最低賃金の上昇率（5年）</t>
        </is>
      </c>
      <c r="D67" s="27" t="n">
        <v>0.276</v>
      </c>
      <c r="E67" s="28">
        <f>ROUND(1119/877-1,3)</f>
        <v/>
      </c>
      <c r="F67" s="7" t="inlineStr"/>
      <c r="G67" s="28" t="n">
        <v>0</v>
      </c>
      <c r="H67" s="7">
        <f>IF(ABS(D67-E67)&lt;=G67+1E-9,"一致","不一致")</f>
        <v/>
      </c>
      <c r="I67" s="5" t="inlineStr"/>
    </row>
    <row r="68" ht="15.5" customHeight="1">
      <c r="A68" s="7" t="n">
        <v>64</v>
      </c>
      <c r="B68" s="5" t="inlineStr">
        <is>
          <t>資金</t>
        </is>
      </c>
      <c r="C68" s="5" t="inlineStr">
        <is>
          <t>投資総額（税込）</t>
        </is>
      </c>
      <c r="D68" s="15" t="n">
        <v>101200000</v>
      </c>
      <c r="E68" s="16">
        <f>92000000*1.1</f>
        <v/>
      </c>
      <c r="F68" s="7" t="inlineStr">
        <is>
          <t>円</t>
        </is>
      </c>
      <c r="G68" s="16" t="n">
        <v>0</v>
      </c>
      <c r="H68" s="7">
        <f>IF(ABS(D68-E68)&lt;=G68+1E-9,"一致","不一致")</f>
        <v/>
      </c>
      <c r="I68" s="5" t="inlineStr"/>
    </row>
    <row r="69" ht="15.5" customHeight="1">
      <c r="A69" s="7" t="n">
        <v>65</v>
      </c>
      <c r="B69" s="5" t="inlineStr">
        <is>
          <t>資金</t>
        </is>
      </c>
      <c r="C69" s="5" t="inlineStr">
        <is>
          <t>自己資金（事業全体）</t>
        </is>
      </c>
      <c r="D69" s="15" t="n">
        <v>55200000</v>
      </c>
      <c r="E69" s="16">
        <f>101200000-46000000</f>
        <v/>
      </c>
      <c r="F69" s="7" t="inlineStr">
        <is>
          <t>円</t>
        </is>
      </c>
      <c r="G69" s="16" t="n">
        <v>0</v>
      </c>
      <c r="H69" s="7">
        <f>IF(ABS(D69-E69)&lt;=G69+1E-9,"一致","不一致")</f>
        <v/>
      </c>
      <c r="I69" s="5" t="inlineStr">
        <is>
          <t>4章①表</t>
        </is>
      </c>
    </row>
    <row r="70" ht="15.5" customHeight="1">
      <c r="A70" s="7" t="n">
        <v>66</v>
      </c>
      <c r="B70" s="5" t="inlineStr">
        <is>
          <t>資金</t>
        </is>
      </c>
      <c r="C70" s="5" t="inlineStr">
        <is>
          <t>（４）表の小計</t>
        </is>
      </c>
      <c r="D70" s="15" t="n">
        <v>96790000</v>
      </c>
      <c r="E70" s="16">
        <f>55250000+31500000+2040000+300000+3600000+4100000</f>
        <v/>
      </c>
      <c r="F70" s="7" t="inlineStr">
        <is>
          <t>円</t>
        </is>
      </c>
      <c r="G70" s="16" t="n">
        <v>0</v>
      </c>
      <c r="H70" s="7">
        <f>IF(ABS(D70-E70)&lt;=G70+1E-9,"一致","不一致")</f>
        <v/>
      </c>
      <c r="I70" s="5" t="inlineStr"/>
    </row>
    <row r="71" ht="15.5" customHeight="1">
      <c r="A71" s="7" t="n">
        <v>67</v>
      </c>
      <c r="B71" s="5" t="inlineStr">
        <is>
          <t>資金</t>
        </is>
      </c>
      <c r="C71" s="5" t="inlineStr">
        <is>
          <t>値引後の合計</t>
        </is>
      </c>
      <c r="D71" s="15" t="n">
        <v>92000000</v>
      </c>
      <c r="E71" s="16">
        <f>96790000-4790000</f>
        <v/>
      </c>
      <c r="F71" s="7" t="inlineStr">
        <is>
          <t>円</t>
        </is>
      </c>
      <c r="G71" s="16" t="n">
        <v>0</v>
      </c>
      <c r="H71" s="7">
        <f>IF(ABS(D71-E71)&lt;=G71+1E-9,"一致","不一致")</f>
        <v/>
      </c>
      <c r="I71" s="5" t="inlineStr"/>
    </row>
  </sheetData>
  <conditionalFormatting sqref="H5:H71">
    <cfRule type="cellIs" priority="1" operator="equal" dxfId="0">
      <formula>"不一致"</formula>
    </cfRule>
    <cfRule type="cellIs" priority="2" operator="equal" dxfId="1">
      <formula>"一致"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2026-10-01T11:48:06Z</dcterms:created>
  <dcterms:modified xmlns:dcterms="http://purl.org/dc/terms/" xmlns:xsi="http://www.w3.org/2001/XMLSchema-instance" xsi:type="dcterms:W3CDTF">2026-10-01T11:48:06Z</dcterms:modified>
</cp:coreProperties>
</file>