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総括" sheetId="1" state="visible" r:id="rId3"/>
    <sheet name="指摘一覧" sheetId="2" state="visible" r:id="rId4"/>
    <sheet name="数値照合" sheetId="3" state="visible" r:id="rId5"/>
    <sheet name="審査項目カバレッジ" sheetId="4" state="visible" r:id="rId6"/>
    <sheet name="画像確認状況" sheetId="5" state="visible" r:id="rId7"/>
  </sheets>
  <definedNames>
    <definedName function="false" hidden="true" localSheetId="3" name="_xlnm._FilterDatabase" vbProcedure="false">審査項目カバレッジ!$A$4:$H$44</definedName>
    <definedName function="false" hidden="false" localSheetId="1" name="_xlnm.Print_Titles" vbProcedure="false">指摘一覧!$4:$4</definedName>
    <definedName function="false" hidden="true" localSheetId="1" name="_xlnm._FilterDatabase" vbProcedure="false">指摘一覧!$A$4:$M$65</definedName>
    <definedName function="false" hidden="true" localSheetId="2" name="_xlnm._FilterDatabase" vbProcedure="false">数値照合!$A$4:$K$90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<sst xmlns="http://schemas.openxmlformats.org/spreadsheetml/2006/main" count="1650" uniqueCount="908">
  <si>
    <t xml:space="preserve">事業計画書チェック結果</t>
  </si>
  <si>
    <r>
      <rPr>
        <b val="true"/>
        <sz val="10"/>
        <color rgb="FF1F4E5F"/>
        <rFont val="Noto Sans CJK SC"/>
        <family val="2"/>
      </rPr>
      <t xml:space="preserve">株式会社トンボ飲料 様　中小企業省力化投資補助金（一般型）第</t>
    </r>
    <r>
      <rPr>
        <b val="true"/>
        <sz val="10"/>
        <color rgb="FF1F4E5F"/>
        <rFont val="Meiryo UI"/>
        <family val="0"/>
        <charset val="1"/>
      </rPr>
      <t xml:space="preserve">8</t>
    </r>
    <r>
      <rPr>
        <b val="true"/>
        <sz val="10"/>
        <color rgb="FF1F4E5F"/>
        <rFont val="Noto Sans CJK SC"/>
        <family val="2"/>
      </rPr>
      <t xml:space="preserve">回　｜　作成日：</t>
    </r>
    <r>
      <rPr>
        <b val="true"/>
        <sz val="10"/>
        <color rgb="FF1F4E5F"/>
        <rFont val="Meiryo UI"/>
        <family val="0"/>
        <charset val="1"/>
      </rPr>
      <t xml:space="preserve">2026</t>
    </r>
    <r>
      <rPr>
        <b val="true"/>
        <sz val="10"/>
        <color rgb="FF1F4E5F"/>
        <rFont val="Noto Sans CJK SC"/>
        <family val="2"/>
      </rPr>
      <t xml:space="preserve">年</t>
    </r>
    <r>
      <rPr>
        <b val="true"/>
        <sz val="10"/>
        <color rgb="FF1F4E5F"/>
        <rFont val="Meiryo UI"/>
        <family val="0"/>
        <charset val="1"/>
      </rPr>
      <t xml:space="preserve">10</t>
    </r>
    <r>
      <rPr>
        <b val="true"/>
        <sz val="10"/>
        <color rgb="FF1F4E5F"/>
        <rFont val="Noto Sans CJK SC"/>
        <family val="2"/>
      </rPr>
      <t xml:space="preserve">月</t>
    </r>
    <r>
      <rPr>
        <b val="true"/>
        <sz val="10"/>
        <color rgb="FF1F4E5F"/>
        <rFont val="Meiryo UI"/>
        <family val="0"/>
        <charset val="1"/>
      </rPr>
      <t xml:space="preserve">1</t>
    </r>
    <r>
      <rPr>
        <b val="true"/>
        <sz val="10"/>
        <color rgb="FF1F4E5F"/>
        <rFont val="Noto Sans CJK SC"/>
        <family val="2"/>
      </rPr>
      <t xml:space="preserve">日</t>
    </r>
  </si>
  <si>
    <r>
      <rPr>
        <b val="true"/>
        <sz val="9"/>
        <rFont val="Meiryo UI"/>
        <family val="0"/>
        <charset val="1"/>
      </rPr>
      <t xml:space="preserve">1. </t>
    </r>
    <r>
      <rPr>
        <b val="true"/>
        <sz val="9"/>
        <rFont val="Noto Sans CJK SC"/>
        <family val="2"/>
      </rPr>
      <t xml:space="preserve">チェック対象</t>
    </r>
  </si>
  <si>
    <t xml:space="preserve">その１その２</t>
  </si>
  <si>
    <r>
      <rPr>
        <sz val="9"/>
        <rFont val="Meiryo UI"/>
        <family val="0"/>
        <charset val="1"/>
      </rPr>
      <t xml:space="preserve">20261001</t>
    </r>
    <r>
      <rPr>
        <sz val="9"/>
        <rFont val="Noto Sans CJK SC"/>
        <family val="2"/>
      </rPr>
      <t xml:space="preserve">【更新版】作成中【参考様式】事業計画書（その１その２）第</t>
    </r>
    <r>
      <rPr>
        <sz val="9"/>
        <rFont val="Meiryo UI"/>
        <family val="0"/>
        <charset val="1"/>
      </rPr>
      <t xml:space="preserve">8</t>
    </r>
    <r>
      <rPr>
        <sz val="9"/>
        <rFont val="Noto Sans CJK SC"/>
        <family val="2"/>
      </rPr>
      <t xml:space="preserve">回フォーマット</t>
    </r>
    <r>
      <rPr>
        <sz val="9"/>
        <rFont val="Meiryo UI"/>
        <family val="0"/>
        <charset val="1"/>
      </rPr>
      <t xml:space="preserve">.docx</t>
    </r>
    <r>
      <rPr>
        <sz val="9"/>
        <rFont val="Noto Sans CJK SC"/>
        <family val="2"/>
      </rPr>
      <t xml:space="preserve">（</t>
    </r>
    <r>
      <rPr>
        <sz val="9"/>
        <rFont val="Meiryo UI"/>
        <family val="0"/>
        <charset val="1"/>
      </rPr>
      <t xml:space="preserve">Dropbox</t>
    </r>
    <r>
      <rPr>
        <sz val="9"/>
        <rFont val="Noto Sans CJK SC"/>
        <family val="2"/>
      </rPr>
      <t xml:space="preserve">、</t>
    </r>
    <r>
      <rPr>
        <sz val="9"/>
        <rFont val="Meiryo UI"/>
        <family val="0"/>
        <charset val="1"/>
      </rPr>
      <t xml:space="preserve">2026/10/01 08:34</t>
    </r>
    <r>
      <rPr>
        <sz val="9"/>
        <rFont val="Noto Sans CJK SC"/>
        <family val="2"/>
      </rPr>
      <t xml:space="preserve">更新）</t>
    </r>
  </si>
  <si>
    <t xml:space="preserve">その３</t>
  </si>
  <si>
    <r>
      <rPr>
        <sz val="9"/>
        <rFont val="Meiryo UI"/>
        <family val="0"/>
        <charset val="1"/>
      </rPr>
      <t xml:space="preserve">20261001</t>
    </r>
    <r>
      <rPr>
        <sz val="9"/>
        <rFont val="Noto Sans CJK SC"/>
        <family val="2"/>
      </rPr>
      <t xml:space="preserve">【更新版】作成中【指定様式】事業計画書（その３）第</t>
    </r>
    <r>
      <rPr>
        <sz val="9"/>
        <rFont val="Meiryo UI"/>
        <family val="0"/>
        <charset val="1"/>
      </rPr>
      <t xml:space="preserve">8</t>
    </r>
    <r>
      <rPr>
        <sz val="9"/>
        <rFont val="Noto Sans CJK SC"/>
        <family val="2"/>
      </rPr>
      <t xml:space="preserve">回フォーマット</t>
    </r>
    <r>
      <rPr>
        <sz val="9"/>
        <rFont val="Meiryo UI"/>
        <family val="0"/>
        <charset val="1"/>
      </rPr>
      <t xml:space="preserve">.xlsx</t>
    </r>
    <r>
      <rPr>
        <sz val="9"/>
        <rFont val="Noto Sans CJK SC"/>
        <family val="2"/>
      </rPr>
      <t xml:space="preserve">（</t>
    </r>
    <r>
      <rPr>
        <sz val="9"/>
        <rFont val="Meiryo UI"/>
        <family val="0"/>
        <charset val="1"/>
      </rPr>
      <t xml:space="preserve">Dropbox</t>
    </r>
    <r>
      <rPr>
        <sz val="9"/>
        <rFont val="Noto Sans CJK SC"/>
        <family val="2"/>
      </rPr>
      <t xml:space="preserve">、</t>
    </r>
    <r>
      <rPr>
        <sz val="9"/>
        <rFont val="Meiryo UI"/>
        <family val="0"/>
        <charset val="1"/>
      </rPr>
      <t xml:space="preserve">2026/10/01 08:36</t>
    </r>
    <r>
      <rPr>
        <sz val="9"/>
        <rFont val="Noto Sans CJK SC"/>
        <family val="2"/>
      </rPr>
      <t xml:space="preserve">更新）</t>
    </r>
  </si>
  <si>
    <t xml:space="preserve">審査項目</t>
  </si>
  <si>
    <r>
      <rPr>
        <sz val="9"/>
        <rFont val="Noto Sans CJK SC"/>
        <family val="2"/>
      </rPr>
      <t xml:space="preserve">【更新版】省力化投資補助金</t>
    </r>
    <r>
      <rPr>
        <sz val="9"/>
        <rFont val="Meiryo UI"/>
        <family val="0"/>
        <charset val="1"/>
      </rPr>
      <t xml:space="preserve">_</t>
    </r>
    <r>
      <rPr>
        <sz val="9"/>
        <rFont val="Noto Sans CJK SC"/>
        <family val="2"/>
      </rPr>
      <t xml:space="preserve">審査項目分析表</t>
    </r>
    <r>
      <rPr>
        <sz val="9"/>
        <rFont val="Meiryo UI"/>
        <family val="0"/>
        <charset val="1"/>
      </rPr>
      <t xml:space="preserve">.xlsx</t>
    </r>
    <r>
      <rPr>
        <sz val="9"/>
        <rFont val="Noto Sans CJK SC"/>
        <family val="2"/>
      </rPr>
      <t xml:space="preserve">（</t>
    </r>
    <r>
      <rPr>
        <sz val="9"/>
        <rFont val="Meiryo UI"/>
        <family val="0"/>
        <charset val="1"/>
      </rPr>
      <t xml:space="preserve">Dropbox</t>
    </r>
    <r>
      <rPr>
        <sz val="9"/>
        <rFont val="Noto Sans CJK SC"/>
        <family val="2"/>
      </rPr>
      <t xml:space="preserve">、</t>
    </r>
    <r>
      <rPr>
        <sz val="9"/>
        <rFont val="Meiryo UI"/>
        <family val="0"/>
        <charset val="1"/>
      </rPr>
      <t xml:space="preserve">2026/09/29</t>
    </r>
    <r>
      <rPr>
        <sz val="9"/>
        <rFont val="Noto Sans CJK SC"/>
        <family val="2"/>
      </rPr>
      <t xml:space="preserve">更新）</t>
    </r>
  </si>
  <si>
    <t xml:space="preserve">照合に使った資料</t>
  </si>
  <si>
    <r>
      <rPr>
        <sz val="9"/>
        <rFont val="Noto Sans CJK SC"/>
        <family val="2"/>
      </rPr>
      <t xml:space="preserve">第</t>
    </r>
    <r>
      <rPr>
        <sz val="9"/>
        <rFont val="Meiryo UI"/>
        <family val="0"/>
        <charset val="1"/>
      </rPr>
      <t xml:space="preserve">8</t>
    </r>
    <r>
      <rPr>
        <sz val="9"/>
        <rFont val="Noto Sans CJK SC"/>
        <family val="2"/>
      </rPr>
      <t xml:space="preserve">回公募要領（更新版）、応募申請の手引き（第</t>
    </r>
    <r>
      <rPr>
        <sz val="9"/>
        <rFont val="Meiryo UI"/>
        <family val="0"/>
        <charset val="1"/>
      </rPr>
      <t xml:space="preserve">8</t>
    </r>
    <r>
      <rPr>
        <sz val="9"/>
        <rFont val="Noto Sans CJK SC"/>
        <family val="2"/>
      </rPr>
      <t xml:space="preserve">回）、よくあるご質問（第</t>
    </r>
    <r>
      <rPr>
        <sz val="9"/>
        <rFont val="Meiryo UI"/>
        <family val="0"/>
        <charset val="1"/>
      </rPr>
      <t xml:space="preserve">5</t>
    </r>
    <r>
      <rPr>
        <sz val="9"/>
        <rFont val="Noto Sans CJK SC"/>
        <family val="2"/>
      </rPr>
      <t xml:space="preserve">〜</t>
    </r>
    <r>
      <rPr>
        <sz val="9"/>
        <rFont val="Meiryo UI"/>
        <family val="0"/>
        <charset val="1"/>
      </rPr>
      <t xml:space="preserve">8</t>
    </r>
    <r>
      <rPr>
        <sz val="9"/>
        <rFont val="Noto Sans CJK SC"/>
        <family val="2"/>
      </rPr>
      <t xml:space="preserve">回、</t>
    </r>
    <r>
      <rPr>
        <sz val="9"/>
        <rFont val="Meiryo UI"/>
        <family val="0"/>
        <charset val="1"/>
      </rPr>
      <t xml:space="preserve">2026/08/18</t>
    </r>
    <r>
      <rPr>
        <sz val="9"/>
        <rFont val="Noto Sans CJK SC"/>
        <family val="2"/>
      </rPr>
      <t xml:space="preserve">更新）、事業計画書作成の参考ガイド、ヒアリングリスト</t>
    </r>
    <r>
      <rPr>
        <sz val="9"/>
        <rFont val="Meiryo UI"/>
        <family val="0"/>
        <charset val="1"/>
      </rPr>
      <t xml:space="preserve">v5</t>
    </r>
    <r>
      <rPr>
        <sz val="9"/>
        <rFont val="Noto Sans CJK SC"/>
        <family val="2"/>
      </rPr>
      <t xml:space="preserve">、</t>
    </r>
    <r>
      <rPr>
        <sz val="9"/>
        <rFont val="Meiryo UI"/>
        <family val="0"/>
        <charset val="1"/>
      </rPr>
      <t xml:space="preserve">20260930</t>
    </r>
    <r>
      <rPr>
        <sz val="9"/>
        <rFont val="Noto Sans CJK SC"/>
        <family val="2"/>
      </rPr>
      <t xml:space="preserve">ヒアリング</t>
    </r>
    <r>
      <rPr>
        <sz val="9"/>
        <rFont val="Meiryo UI"/>
        <family val="0"/>
        <charset val="1"/>
      </rPr>
      <t xml:space="preserve">MTG</t>
    </r>
    <r>
      <rPr>
        <sz val="9"/>
        <rFont val="Noto Sans CJK SC"/>
        <family val="2"/>
      </rPr>
      <t xml:space="preserve">メモ、市場・労働統計の調査メモ（</t>
    </r>
    <r>
      <rPr>
        <sz val="9"/>
        <rFont val="Meiryo UI"/>
        <family val="0"/>
        <charset val="1"/>
      </rPr>
      <t xml:space="preserve">market_data.md</t>
    </r>
    <r>
      <rPr>
        <sz val="9"/>
        <rFont val="Noto Sans CJK SC"/>
        <family val="2"/>
      </rPr>
      <t xml:space="preserve">／</t>
    </r>
    <r>
      <rPr>
        <sz val="9"/>
        <rFont val="Meiryo UI"/>
        <family val="0"/>
        <charset val="1"/>
      </rPr>
      <t xml:space="preserve">labor_data.md</t>
    </r>
    <r>
      <rPr>
        <sz val="9"/>
        <rFont val="Noto Sans CJK SC"/>
        <family val="2"/>
      </rPr>
      <t xml:space="preserve">）、図の元データ（★</t>
    </r>
    <r>
      <rPr>
        <sz val="9"/>
        <rFont val="Meiryo UI"/>
        <family val="0"/>
        <charset val="1"/>
      </rPr>
      <t xml:space="preserve">0930G</t>
    </r>
    <r>
      <rPr>
        <sz val="9"/>
        <rFont val="Noto Sans CJK SC"/>
        <family val="2"/>
      </rPr>
      <t xml:space="preserve">ライン</t>
    </r>
    <r>
      <rPr>
        <sz val="9"/>
        <rFont val="Meiryo UI"/>
        <family val="0"/>
        <charset val="1"/>
      </rPr>
      <t xml:space="preserve">_</t>
    </r>
    <r>
      <rPr>
        <sz val="9"/>
        <rFont val="Noto Sans CJK SC"/>
        <family val="2"/>
      </rPr>
      <t xml:space="preserve">レイアウト工程ビフォーアフター</t>
    </r>
    <r>
      <rPr>
        <sz val="9"/>
        <rFont val="Meiryo UI"/>
        <family val="0"/>
        <charset val="1"/>
      </rPr>
      <t xml:space="preserve">_v3.pptx</t>
    </r>
    <r>
      <rPr>
        <sz val="9"/>
        <rFont val="Noto Sans CJK SC"/>
        <family val="2"/>
      </rPr>
      <t xml:space="preserve">）、</t>
    </r>
    <r>
      <rPr>
        <sz val="9"/>
        <rFont val="Meiryo UI"/>
        <family val="0"/>
        <charset val="1"/>
      </rPr>
      <t xml:space="preserve">20261001</t>
    </r>
    <r>
      <rPr>
        <sz val="9"/>
        <rFont val="Noto Sans CJK SC"/>
        <family val="2"/>
      </rPr>
      <t xml:space="preserve">【更新版】スケジュール</t>
    </r>
    <r>
      <rPr>
        <sz val="9"/>
        <rFont val="Meiryo UI"/>
        <family val="0"/>
        <charset val="1"/>
      </rPr>
      <t xml:space="preserve">.xlsx</t>
    </r>
    <r>
      <rPr>
        <sz val="9"/>
        <rFont val="Noto Sans CJK SC"/>
        <family val="2"/>
      </rPr>
      <t xml:space="preserve">、参照用収支計画</t>
    </r>
    <r>
      <rPr>
        <sz val="9"/>
        <rFont val="Meiryo UI"/>
        <family val="0"/>
        <charset val="1"/>
      </rPr>
      <t xml:space="preserve">.xlsx</t>
    </r>
  </si>
  <si>
    <r>
      <rPr>
        <b val="true"/>
        <sz val="9"/>
        <rFont val="Meiryo UI"/>
        <family val="0"/>
        <charset val="1"/>
      </rPr>
      <t xml:space="preserve">2. </t>
    </r>
    <r>
      <rPr>
        <b val="true"/>
        <sz val="9"/>
        <rFont val="Noto Sans CJK SC"/>
        <family val="2"/>
      </rPr>
      <t xml:space="preserve">チェックの方法と制約</t>
    </r>
  </si>
  <si>
    <t xml:space="preserve">①ファイル内</t>
  </si>
  <si>
    <t xml:space="preserve">矛盾・ロジック、説得力、審査上不利な記載、誤字脱字を全文で確認。統計値は出典の調査メモと照合。</t>
  </si>
  <si>
    <t xml:space="preserve">②ファイル間</t>
  </si>
  <si>
    <t xml:space="preserve">その１その２・その３・図・スケジュールの数値と記載を照合し、主要な数値は元データから数式で再計算（「数値照合」シート）。</t>
  </si>
  <si>
    <t xml:space="preserve">③審査項目</t>
  </si>
  <si>
    <t xml:space="preserve">審査項目分析表の全項目（必須・技術面・計画面・政策面・特例・口頭審査・加点・減点）への対応を評価（「審査項目カバレッジ」シート）。</t>
  </si>
  <si>
    <t xml:space="preserve">制約（画像）</t>
  </si>
  <si>
    <r>
      <rPr>
        <sz val="9"/>
        <rFont val="Noto Sans CJK SC"/>
        <family val="2"/>
      </rPr>
      <t xml:space="preserve">本体ファイルのダウンロードがこの環境のネットワーク設定（</t>
    </r>
    <r>
      <rPr>
        <sz val="9"/>
        <rFont val="Meiryo UI"/>
        <family val="0"/>
        <charset val="1"/>
      </rPr>
      <t xml:space="preserve">dl.dropboxusercontent.com</t>
    </r>
    <r>
      <rPr>
        <sz val="9"/>
        <rFont val="Noto Sans CJK SC"/>
        <family val="2"/>
      </rPr>
      <t xml:space="preserve">）で拒否されたため、本文は</t>
    </r>
    <r>
      <rPr>
        <sz val="9"/>
        <rFont val="Meiryo UI"/>
        <family val="0"/>
        <charset val="1"/>
      </rPr>
      <t xml:space="preserve">Dropbox</t>
    </r>
    <r>
      <rPr>
        <sz val="9"/>
        <rFont val="Noto Sans CJK SC"/>
        <family val="2"/>
      </rPr>
      <t xml:space="preserve">経由の抽出テキストで確認し、図は元データ（</t>
    </r>
    <r>
      <rPr>
        <sz val="9"/>
        <rFont val="Meiryo UI"/>
        <family val="0"/>
        <charset val="1"/>
      </rPr>
      <t xml:space="preserve">pptx v3</t>
    </r>
    <r>
      <rPr>
        <sz val="9"/>
        <rFont val="Noto Sans CJK SC"/>
        <family val="2"/>
      </rPr>
      <t xml:space="preserve">）を画像化して図中の文字・数値を確認した。フジシール図面・当社の歴史・末尾スケジュール等の貼付画像そのものは未確認（「画像確認状況」シート）。</t>
    </r>
  </si>
  <si>
    <r>
      <rPr>
        <b val="true"/>
        <sz val="9"/>
        <rFont val="Meiryo UI"/>
        <family val="0"/>
        <charset val="1"/>
      </rPr>
      <t xml:space="preserve">3. </t>
    </r>
    <r>
      <rPr>
        <b val="true"/>
        <sz val="9"/>
        <rFont val="Noto Sans CJK SC"/>
        <family val="2"/>
      </rPr>
      <t xml:space="preserve">総評</t>
    </r>
  </si>
  <si>
    <t xml:space="preserve">良い点</t>
  </si>
  <si>
    <r>
      <rPr>
        <sz val="9"/>
        <rFont val="Noto Sans CJK SC"/>
        <family val="2"/>
      </rPr>
      <t xml:space="preserve">数値はその１その２とその３で全て一致し、計算も再計算と合っている。</t>
    </r>
    <r>
      <rPr>
        <sz val="9"/>
        <rFont val="Meiryo UI"/>
        <family val="0"/>
        <charset val="1"/>
      </rPr>
      <t xml:space="preserve">SWOT→</t>
    </r>
    <r>
      <rPr>
        <sz val="9"/>
        <rFont val="Noto Sans CJK SC"/>
        <family val="2"/>
      </rPr>
      <t xml:space="preserve">クロス</t>
    </r>
    <r>
      <rPr>
        <sz val="9"/>
        <rFont val="Meiryo UI"/>
        <family val="0"/>
        <charset val="1"/>
      </rPr>
      <t xml:space="preserve">SWOT→</t>
    </r>
    <r>
      <rPr>
        <sz val="9"/>
        <rFont val="Noto Sans CJK SC"/>
        <family val="2"/>
      </rPr>
      <t xml:space="preserve">課題（</t>
    </r>
    <r>
      <rPr>
        <sz val="9"/>
        <rFont val="Meiryo UI"/>
        <family val="0"/>
        <charset val="1"/>
      </rPr>
      <t xml:space="preserve">B1</t>
    </r>
    <r>
      <rPr>
        <sz val="9"/>
        <rFont val="Noto Sans CJK SC"/>
        <family val="2"/>
      </rPr>
      <t xml:space="preserve">〜</t>
    </r>
    <r>
      <rPr>
        <sz val="9"/>
        <rFont val="Meiryo UI"/>
        <family val="0"/>
        <charset val="1"/>
      </rPr>
      <t xml:space="preserve">B3</t>
    </r>
    <r>
      <rPr>
        <sz val="9"/>
        <rFont val="Noto Sans CJK SC"/>
        <family val="2"/>
      </rPr>
      <t xml:space="preserve">）→設備→創出時間の配分（配分率・人時・</t>
    </r>
    <r>
      <rPr>
        <sz val="9"/>
        <rFont val="Meiryo UI"/>
        <family val="0"/>
        <charset val="1"/>
      </rPr>
      <t xml:space="preserve">KPI</t>
    </r>
    <r>
      <rPr>
        <sz val="9"/>
        <rFont val="Noto Sans CJK SC"/>
        <family val="2"/>
      </rPr>
      <t xml:space="preserve">・</t>
    </r>
    <r>
      <rPr>
        <sz val="9"/>
        <rFont val="Meiryo UI"/>
        <family val="0"/>
        <charset val="1"/>
      </rPr>
      <t xml:space="preserve">3</t>
    </r>
    <r>
      <rPr>
        <sz val="9"/>
        <rFont val="Noto Sans CJK SC"/>
        <family val="2"/>
      </rPr>
      <t xml:space="preserve">段階）→賃上げまでの因果が一貫しており、オーダーメイド性（</t>
    </r>
    <r>
      <rPr>
        <sz val="9"/>
        <rFont val="Meiryo UI"/>
        <family val="0"/>
        <charset val="1"/>
      </rPr>
      <t xml:space="preserve">3</t>
    </r>
    <r>
      <rPr>
        <sz val="9"/>
        <rFont val="Noto Sans CJK SC"/>
        <family val="2"/>
      </rPr>
      <t xml:space="preserve">観点・打合せ経緯・代替案の棄却）とリスク対策も採択事例の水準にある。</t>
    </r>
  </si>
  <si>
    <t xml:space="preserve">優先して直す点</t>
  </si>
  <si>
    <r>
      <rPr>
        <sz val="9"/>
        <rFont val="Meiryo UI"/>
        <family val="0"/>
        <charset val="1"/>
      </rPr>
      <t xml:space="preserve">(1) </t>
    </r>
    <r>
      <rPr>
        <sz val="9"/>
        <rFont val="Noto Sans CJK SC"/>
        <family val="2"/>
      </rPr>
      <t xml:space="preserve">投資回収期間：手引きの記入例は「</t>
    </r>
    <r>
      <rPr>
        <sz val="9"/>
        <rFont val="Meiryo UI"/>
        <family val="0"/>
        <charset val="1"/>
      </rPr>
      <t xml:space="preserve">1</t>
    </r>
    <r>
      <rPr>
        <sz val="9"/>
        <rFont val="Noto Sans CJK SC"/>
        <family val="2"/>
      </rPr>
      <t xml:space="preserve">年あたりの付加価値増加額」→主値を</t>
    </r>
    <r>
      <rPr>
        <sz val="9"/>
        <rFont val="Meiryo UI"/>
        <family val="0"/>
        <charset val="1"/>
      </rPr>
      <t xml:space="preserve">0.93</t>
    </r>
    <r>
      <rPr>
        <sz val="9"/>
        <rFont val="Noto Sans CJK SC"/>
        <family val="2"/>
      </rPr>
      <t xml:space="preserve">年に（</t>
    </r>
    <r>
      <rPr>
        <sz val="9"/>
        <rFont val="Meiryo UI"/>
        <family val="0"/>
        <charset val="1"/>
      </rPr>
      <t xml:space="preserve">No.1</t>
    </r>
    <r>
      <rPr>
        <sz val="9"/>
        <rFont val="Noto Sans CJK SC"/>
        <family val="2"/>
      </rPr>
      <t xml:space="preserve">）
</t>
    </r>
    <r>
      <rPr>
        <sz val="9"/>
        <rFont val="Meiryo UI"/>
        <family val="0"/>
        <charset val="1"/>
      </rPr>
      <t xml:space="preserve">(2) </t>
    </r>
    <r>
      <rPr>
        <sz val="9"/>
        <rFont val="Noto Sans CJK SC"/>
        <family val="2"/>
      </rPr>
      <t xml:space="preserve">補助対象経費：既設</t>
    </r>
    <r>
      <rPr>
        <sz val="9"/>
        <rFont val="Meiryo UI"/>
        <family val="0"/>
        <charset val="1"/>
      </rPr>
      <t xml:space="preserve">SPM</t>
    </r>
    <r>
      <rPr>
        <sz val="9"/>
        <rFont val="Noto Sans CJK SC"/>
        <family val="2"/>
      </rPr>
      <t xml:space="preserve">機の改造費・改造工事は対象外の可能性（</t>
    </r>
    <r>
      <rPr>
        <sz val="9"/>
        <rFont val="Meiryo UI"/>
        <family val="0"/>
        <charset val="1"/>
      </rPr>
      <t xml:space="preserve">No.2</t>
    </r>
    <r>
      <rPr>
        <sz val="9"/>
        <rFont val="Noto Sans CJK SC"/>
        <family val="2"/>
      </rPr>
      <t xml:space="preserve">）、運搬費は機械装置費に計上（</t>
    </r>
    <r>
      <rPr>
        <sz val="9"/>
        <rFont val="Meiryo UI"/>
        <family val="0"/>
        <charset val="1"/>
      </rPr>
      <t xml:space="preserve">No.3</t>
    </r>
    <r>
      <rPr>
        <sz val="9"/>
        <rFont val="Noto Sans CJK SC"/>
        <family val="2"/>
      </rPr>
      <t xml:space="preserve">）
</t>
    </r>
    <r>
      <rPr>
        <sz val="9"/>
        <rFont val="Meiryo UI"/>
        <family val="0"/>
        <charset val="1"/>
      </rPr>
      <t xml:space="preserve">(3) </t>
    </r>
    <r>
      <rPr>
        <sz val="9"/>
        <rFont val="Noto Sans CJK SC"/>
        <family val="2"/>
      </rPr>
      <t xml:space="preserve">増収の根拠：能力を上げない装置で年</t>
    </r>
    <r>
      <rPr>
        <sz val="9"/>
        <rFont val="Meiryo UI"/>
        <family val="0"/>
        <charset val="1"/>
      </rPr>
      <t xml:space="preserve">800</t>
    </r>
    <r>
      <rPr>
        <sz val="9"/>
        <rFont val="Noto Sans CJK SC"/>
        <family val="2"/>
      </rPr>
      <t xml:space="preserve">万袋を追加生産できる理由が示されていない（</t>
    </r>
    <r>
      <rPr>
        <sz val="9"/>
        <rFont val="Meiryo UI"/>
        <family val="0"/>
        <charset val="1"/>
      </rPr>
      <t xml:space="preserve">No.4</t>
    </r>
    <r>
      <rPr>
        <sz val="9"/>
        <rFont val="Noto Sans CJK SC"/>
        <family val="2"/>
      </rPr>
      <t xml:space="preserve">）
</t>
    </r>
    <r>
      <rPr>
        <sz val="9"/>
        <rFont val="Meiryo UI"/>
        <family val="0"/>
        <charset val="1"/>
      </rPr>
      <t xml:space="preserve">(4) </t>
    </r>
    <r>
      <rPr>
        <sz val="9"/>
        <rFont val="Noto Sans CJK SC"/>
        <family val="2"/>
      </rPr>
      <t xml:space="preserve">省力化指数の説明：「無くなる作業」と「詰めにほぐし等を集約」が矛盾（</t>
    </r>
    <r>
      <rPr>
        <sz val="9"/>
        <rFont val="Meiryo UI"/>
        <family val="0"/>
        <charset val="1"/>
      </rPr>
      <t xml:space="preserve">No.5</t>
    </r>
    <r>
      <rPr>
        <sz val="9"/>
        <rFont val="Noto Sans CJK SC"/>
        <family val="2"/>
      </rPr>
      <t xml:space="preserve">）
</t>
    </r>
    <r>
      <rPr>
        <sz val="9"/>
        <rFont val="Meiryo UI"/>
        <family val="0"/>
        <charset val="1"/>
      </rPr>
      <t xml:space="preserve">(5) </t>
    </r>
    <r>
      <rPr>
        <sz val="9"/>
        <rFont val="Noto Sans CJK SC"/>
        <family val="2"/>
      </rPr>
      <t xml:space="preserve">末尾スケジュール画像：旧版に他社案件の記載があるため版を確認（</t>
    </r>
    <r>
      <rPr>
        <sz val="9"/>
        <rFont val="Meiryo UI"/>
        <family val="0"/>
        <charset val="1"/>
      </rPr>
      <t xml:space="preserve">No.6</t>
    </r>
    <r>
      <rPr>
        <sz val="9"/>
        <rFont val="Noto Sans CJK SC"/>
        <family val="2"/>
      </rPr>
      <t xml:space="preserve">）
</t>
    </r>
    <r>
      <rPr>
        <sz val="9"/>
        <rFont val="Meiryo UI"/>
        <family val="0"/>
        <charset val="1"/>
      </rPr>
      <t xml:space="preserve">(6) </t>
    </r>
    <r>
      <rPr>
        <sz val="9"/>
        <rFont val="Noto Sans CJK SC"/>
        <family val="2"/>
      </rPr>
      <t xml:space="preserve">足下の賃上げ：実施済みの約</t>
    </r>
    <r>
      <rPr>
        <sz val="9"/>
        <rFont val="Meiryo UI"/>
        <family val="0"/>
        <charset val="1"/>
      </rPr>
      <t xml:space="preserve">5%</t>
    </r>
    <r>
      <rPr>
        <sz val="9"/>
        <rFont val="Noto Sans CJK SC"/>
        <family val="2"/>
      </rPr>
      <t xml:space="preserve">と計画</t>
    </r>
    <r>
      <rPr>
        <sz val="9"/>
        <rFont val="Meiryo UI"/>
        <family val="0"/>
        <charset val="1"/>
      </rPr>
      <t xml:space="preserve">3.02%</t>
    </r>
    <r>
      <rPr>
        <sz val="9"/>
        <rFont val="Noto Sans CJK SC"/>
        <family val="2"/>
      </rPr>
      <t xml:space="preserve">・進行期人件費</t>
    </r>
    <r>
      <rPr>
        <sz val="9"/>
        <rFont val="Meiryo UI"/>
        <family val="0"/>
        <charset val="1"/>
      </rPr>
      <t xml:space="preserve">+0.7%</t>
    </r>
    <r>
      <rPr>
        <sz val="9"/>
        <rFont val="Noto Sans CJK SC"/>
        <family val="2"/>
      </rPr>
      <t xml:space="preserve">の整合（</t>
    </r>
    <r>
      <rPr>
        <sz val="9"/>
        <rFont val="Meiryo UI"/>
        <family val="0"/>
        <charset val="1"/>
      </rPr>
      <t xml:space="preserve">No.7</t>
    </r>
    <r>
      <rPr>
        <sz val="9"/>
        <rFont val="Noto Sans CJK SC"/>
        <family val="2"/>
      </rPr>
      <t xml:space="preserve">）</t>
    </r>
  </si>
  <si>
    <r>
      <rPr>
        <b val="true"/>
        <sz val="9"/>
        <rFont val="Meiryo UI"/>
        <family val="0"/>
        <charset val="1"/>
      </rPr>
      <t xml:space="preserve">4. </t>
    </r>
    <r>
      <rPr>
        <b val="true"/>
        <sz val="9"/>
        <rFont val="Noto Sans CJK SC"/>
        <family val="2"/>
      </rPr>
      <t xml:space="preserve">指摘件数（「指摘一覧」から自動集計）</t>
    </r>
  </si>
  <si>
    <t xml:space="preserve">重要度</t>
  </si>
  <si>
    <t xml:space="preserve">合計</t>
  </si>
  <si>
    <t xml:space="preserve">対応済</t>
  </si>
  <si>
    <r>
      <rPr>
        <sz val="9"/>
        <rFont val="Meiryo UI"/>
        <family val="0"/>
        <charset val="1"/>
      </rPr>
      <t xml:space="preserve">A</t>
    </r>
    <r>
      <rPr>
        <sz val="9"/>
        <rFont val="Noto Sans CJK SC"/>
        <family val="2"/>
      </rPr>
      <t xml:space="preserve">：要修正</t>
    </r>
  </si>
  <si>
    <r>
      <rPr>
        <sz val="9"/>
        <rFont val="Meiryo UI"/>
        <family val="0"/>
        <charset val="1"/>
      </rPr>
      <t xml:space="preserve">B</t>
    </r>
    <r>
      <rPr>
        <sz val="9"/>
        <rFont val="Noto Sans CJK SC"/>
        <family val="2"/>
      </rPr>
      <t xml:space="preserve">：修正推奨</t>
    </r>
  </si>
  <si>
    <r>
      <rPr>
        <sz val="9"/>
        <rFont val="Meiryo UI"/>
        <family val="0"/>
        <charset val="1"/>
      </rPr>
      <t xml:space="preserve">C</t>
    </r>
    <r>
      <rPr>
        <sz val="9"/>
        <rFont val="Noto Sans CJK SC"/>
        <family val="2"/>
      </rPr>
      <t xml:space="preserve">：軽微</t>
    </r>
  </si>
  <si>
    <t xml:space="preserve">確認</t>
  </si>
  <si>
    <r>
      <rPr>
        <sz val="8"/>
        <color rgb="FF555555"/>
        <rFont val="Meiryo UI"/>
        <family val="0"/>
        <charset val="1"/>
      </rPr>
      <t xml:space="preserve">※1</t>
    </r>
    <r>
      <rPr>
        <sz val="8"/>
        <color rgb="FF555555"/>
        <rFont val="Noto Sans CJK SC"/>
        <family val="2"/>
      </rPr>
      <t xml:space="preserve">件の指摘が複数の観点に該当する場合は、観点別の列で重複して数えています（合計列は件数そのもの）。</t>
    </r>
  </si>
  <si>
    <r>
      <rPr>
        <b val="true"/>
        <sz val="9"/>
        <rFont val="Meiryo UI"/>
        <family val="0"/>
        <charset val="1"/>
      </rPr>
      <t xml:space="preserve">5. </t>
    </r>
    <r>
      <rPr>
        <b val="true"/>
        <sz val="9"/>
        <rFont val="Noto Sans CJK SC"/>
        <family val="2"/>
      </rPr>
      <t xml:space="preserve">凡例</t>
    </r>
  </si>
  <si>
    <r>
      <rPr>
        <b val="true"/>
        <sz val="9"/>
        <rFont val="Meiryo UI"/>
        <family val="0"/>
        <charset val="1"/>
      </rPr>
      <t xml:space="preserve">A</t>
    </r>
    <r>
      <rPr>
        <b val="true"/>
        <sz val="9"/>
        <rFont val="Noto Sans CJK SC"/>
        <family val="2"/>
      </rPr>
      <t xml:space="preserve">：要修正</t>
    </r>
  </si>
  <si>
    <t xml:space="preserve">要件・補助対象経費・審査の主要数値に直接影響するもの、または明確な矛盾。</t>
  </si>
  <si>
    <r>
      <rPr>
        <b val="true"/>
        <sz val="9"/>
        <rFont val="Meiryo UI"/>
        <family val="0"/>
        <charset val="1"/>
      </rPr>
      <t xml:space="preserve">B</t>
    </r>
    <r>
      <rPr>
        <b val="true"/>
        <sz val="9"/>
        <rFont val="Noto Sans CJK SC"/>
        <family val="2"/>
      </rPr>
      <t xml:space="preserve">：修正推奨</t>
    </r>
  </si>
  <si>
    <t xml:space="preserve">整合性・説得力の改善、出典の正確性。</t>
  </si>
  <si>
    <r>
      <rPr>
        <b val="true"/>
        <sz val="9"/>
        <rFont val="Meiryo UI"/>
        <family val="0"/>
        <charset val="1"/>
      </rPr>
      <t xml:space="preserve">C</t>
    </r>
    <r>
      <rPr>
        <b val="true"/>
        <sz val="9"/>
        <rFont val="Noto Sans CJK SC"/>
        <family val="2"/>
      </rPr>
      <t xml:space="preserve">：軽微</t>
    </r>
  </si>
  <si>
    <t xml:space="preserve">誤字脱字・表記ゆれ・体裁。</t>
  </si>
  <si>
    <t xml:space="preserve">クライアント・事務局への事実確認や、申請手続きの確認が必要なもの。</t>
  </si>
  <si>
    <t xml:space="preserve">シート構成</t>
  </si>
  <si>
    <t xml:space="preserve">指摘一覧（全指摘）／数値照合（記載値と再計算の照合、能力検証、文字数）／審査項目カバレッジ（審査項目分析表との対応）／画像確認状況（貼付図ごとの確認状況）</t>
  </si>
  <si>
    <r>
      <rPr>
        <b val="true"/>
        <sz val="10"/>
        <color rgb="FF1F4E5F"/>
        <rFont val="Noto Sans CJK SC"/>
        <family val="2"/>
      </rPr>
      <t xml:space="preserve">指摘一覧（重要度順：</t>
    </r>
    <r>
      <rPr>
        <b val="true"/>
        <sz val="10"/>
        <color rgb="FF1F4E5F"/>
        <rFont val="Meiryo UI"/>
        <family val="0"/>
        <charset val="1"/>
      </rPr>
      <t xml:space="preserve">A→B→C→</t>
    </r>
    <r>
      <rPr>
        <b val="true"/>
        <sz val="10"/>
        <color rgb="FF1F4E5F"/>
        <rFont val="Noto Sans CJK SC"/>
        <family val="2"/>
      </rPr>
      <t xml:space="preserve">確認、同じ重要度の中は計画書の掲載順）</t>
    </r>
  </si>
  <si>
    <t xml:space="preserve">観点：①ファイル内の矛盾・ロジック・説得力・不利な記載・誤字脱字／②ファイル間・本文と図の整合／③審査項目への対応。対応状況はプルダウンで選択できます。</t>
  </si>
  <si>
    <t xml:space="preserve">No</t>
  </si>
  <si>
    <t xml:space="preserve">観点</t>
  </si>
  <si>
    <t xml:space="preserve">分類</t>
  </si>
  <si>
    <t xml:space="preserve">対象ファイル</t>
  </si>
  <si>
    <t xml:space="preserve">該当箇所</t>
  </si>
  <si>
    <t xml:space="preserve">現状の記載（抜粋）</t>
  </si>
  <si>
    <t xml:space="preserve">指摘内容（問題点・根拠）</t>
  </si>
  <si>
    <t xml:space="preserve">修正案</t>
  </si>
  <si>
    <t xml:space="preserve">関連審査項目</t>
  </si>
  <si>
    <t xml:space="preserve">根拠資料・確認元</t>
  </si>
  <si>
    <t xml:space="preserve">対応状況</t>
  </si>
  <si>
    <t xml:space="preserve">メモ</t>
  </si>
  <si>
    <t xml:space="preserve">A</t>
  </si>
  <si>
    <t xml:space="preserve">①②③</t>
  </si>
  <si>
    <t xml:space="preserve">数値・計算／要件</t>
  </si>
  <si>
    <t xml:space="preserve">その１その２／その３</t>
  </si>
  <si>
    <r>
      <rPr>
        <sz val="9"/>
        <rFont val="Noto Sans CJK SC"/>
        <family val="2"/>
      </rPr>
      <t xml:space="preserve">その１その２：</t>
    </r>
    <r>
      <rPr>
        <sz val="9"/>
        <rFont val="Meiryo UI"/>
        <family val="0"/>
        <charset val="1"/>
      </rPr>
      <t xml:space="preserve">2-2②</t>
    </r>
    <r>
      <rPr>
        <sz val="9"/>
        <rFont val="Noto Sans CJK SC"/>
        <family val="2"/>
      </rPr>
      <t xml:space="preserve">「投資回収期間（</t>
    </r>
    <r>
      <rPr>
        <sz val="9"/>
        <rFont val="Meiryo UI"/>
        <family val="0"/>
        <charset val="1"/>
      </rPr>
      <t xml:space="preserve">0.33</t>
    </r>
    <r>
      <rPr>
        <sz val="9"/>
        <rFont val="Noto Sans CJK SC"/>
        <family val="2"/>
      </rPr>
      <t xml:space="preserve">年）」本文・要素表、</t>
    </r>
    <r>
      <rPr>
        <sz val="9"/>
        <rFont val="Meiryo UI"/>
        <family val="0"/>
        <charset val="1"/>
      </rPr>
      <t xml:space="preserve">6</t>
    </r>
    <r>
      <rPr>
        <sz val="9"/>
        <rFont val="Noto Sans CJK SC"/>
        <family val="2"/>
      </rPr>
      <t xml:space="preserve">章①リスク②
その３：【３】投資回収期間、（別紙３）</t>
    </r>
  </si>
  <si>
    <r>
      <rPr>
        <sz val="9"/>
        <rFont val="Noto Sans CJK SC"/>
        <family val="2"/>
      </rPr>
      <t xml:space="preserve">「＝</t>
    </r>
    <r>
      <rPr>
        <sz val="9"/>
        <rFont val="Meiryo UI"/>
        <family val="0"/>
        <charset val="1"/>
      </rPr>
      <t xml:space="preserve">101,200,000</t>
    </r>
    <r>
      <rPr>
        <sz val="9"/>
        <rFont val="Noto Sans CJK SC"/>
        <family val="2"/>
      </rPr>
      <t xml:space="preserve">円</t>
    </r>
    <r>
      <rPr>
        <sz val="9"/>
        <rFont val="Meiryo UI"/>
        <family val="0"/>
        <charset val="1"/>
      </rPr>
      <t xml:space="preserve">÷</t>
    </r>
    <r>
      <rPr>
        <sz val="9"/>
        <rFont val="Noto Sans CJK SC"/>
        <family val="2"/>
      </rPr>
      <t xml:space="preserve">（</t>
    </r>
    <r>
      <rPr>
        <sz val="9"/>
        <rFont val="Meiryo UI"/>
        <family val="0"/>
        <charset val="1"/>
      </rPr>
      <t xml:space="preserve">9,047,144</t>
    </r>
    <r>
      <rPr>
        <sz val="9"/>
        <rFont val="Noto Sans CJK SC"/>
        <family val="2"/>
      </rPr>
      <t xml:space="preserve">円＋</t>
    </r>
    <r>
      <rPr>
        <sz val="9"/>
        <rFont val="Meiryo UI"/>
        <family val="0"/>
        <charset val="1"/>
      </rPr>
      <t xml:space="preserve">297,960,717</t>
    </r>
    <r>
      <rPr>
        <sz val="9"/>
        <rFont val="Noto Sans CJK SC"/>
        <family val="2"/>
      </rPr>
      <t xml:space="preserve">円）＝</t>
    </r>
    <r>
      <rPr>
        <sz val="9"/>
        <rFont val="Meiryo UI"/>
        <family val="0"/>
        <charset val="1"/>
      </rPr>
      <t xml:space="preserve">0.33</t>
    </r>
    <r>
      <rPr>
        <sz val="9"/>
        <rFont val="Noto Sans CJK SC"/>
        <family val="2"/>
      </rPr>
      <t xml:space="preserve">年」
「増加した付加価値額 </t>
    </r>
    <r>
      <rPr>
        <sz val="9"/>
        <rFont val="Meiryo UI"/>
        <family val="0"/>
        <charset val="1"/>
      </rPr>
      <t xml:space="preserve">297,960,717</t>
    </r>
    <r>
      <rPr>
        <sz val="9"/>
        <rFont val="Noto Sans CJK SC"/>
        <family val="2"/>
      </rPr>
      <t xml:space="preserve">円（</t>
    </r>
    <r>
      <rPr>
        <sz val="9"/>
        <rFont val="Meiryo UI"/>
        <family val="0"/>
        <charset val="1"/>
      </rPr>
      <t xml:space="preserve">3</t>
    </r>
    <r>
      <rPr>
        <sz val="9"/>
        <rFont val="Noto Sans CJK SC"/>
        <family val="2"/>
      </rPr>
      <t xml:space="preserve">年目−基準年度）」
「▶保守ケース：…＝</t>
    </r>
    <r>
      <rPr>
        <sz val="9"/>
        <rFont val="Meiryo UI"/>
        <family val="0"/>
        <charset val="1"/>
      </rPr>
      <t xml:space="preserve">0.93</t>
    </r>
    <r>
      <rPr>
        <sz val="9"/>
        <rFont val="Noto Sans CJK SC"/>
        <family val="2"/>
      </rPr>
      <t xml:space="preserve">年」</t>
    </r>
  </si>
  <si>
    <r>
      <rPr>
        <sz val="9"/>
        <rFont val="Noto Sans CJK SC"/>
        <family val="2"/>
      </rPr>
      <t xml:space="preserve">応募申請の手引き（第</t>
    </r>
    <r>
      <rPr>
        <sz val="9"/>
        <rFont val="Meiryo UI"/>
        <family val="0"/>
        <charset val="1"/>
      </rPr>
      <t xml:space="preserve">8</t>
    </r>
    <r>
      <rPr>
        <sz val="9"/>
        <rFont val="Noto Sans CJK SC"/>
        <family val="2"/>
      </rPr>
      <t xml:space="preserve">回）</t>
    </r>
    <r>
      <rPr>
        <sz val="9"/>
        <rFont val="Meiryo UI"/>
        <family val="0"/>
        <charset val="1"/>
      </rPr>
      <t xml:space="preserve">p.60</t>
    </r>
    <r>
      <rPr>
        <sz val="9"/>
        <rFont val="Noto Sans CJK SC"/>
        <family val="2"/>
      </rPr>
      <t xml:space="preserve">の（別紙３）記入例は、増加した付加価値額を「（円</t>
    </r>
    <r>
      <rPr>
        <sz val="9"/>
        <rFont val="Meiryo UI"/>
        <family val="0"/>
        <charset val="1"/>
      </rPr>
      <t xml:space="preserve">/</t>
    </r>
    <r>
      <rPr>
        <sz val="9"/>
        <rFont val="Noto Sans CJK SC"/>
        <family val="2"/>
      </rPr>
      <t xml:space="preserve">年）」とし「１年あたりの付加価値増加額を入力　例）</t>
    </r>
    <r>
      <rPr>
        <sz val="9"/>
        <rFont val="Meiryo UI"/>
        <family val="0"/>
        <charset val="1"/>
      </rPr>
      <t xml:space="preserve">5</t>
    </r>
    <r>
      <rPr>
        <sz val="9"/>
        <rFont val="Noto Sans CJK SC"/>
        <family val="2"/>
      </rPr>
      <t xml:space="preserve">年計画の場合、（５年後の付加価値額－基準年度の付加価値額）</t>
    </r>
    <r>
      <rPr>
        <sz val="9"/>
        <rFont val="Meiryo UI"/>
        <family val="0"/>
        <charset val="1"/>
      </rPr>
      <t xml:space="preserve">÷5</t>
    </r>
    <r>
      <rPr>
        <sz val="9"/>
        <rFont val="Noto Sans CJK SC"/>
        <family val="2"/>
      </rPr>
      <t xml:space="preserve">」と説明している（例：</t>
    </r>
    <r>
      <rPr>
        <sz val="9"/>
        <rFont val="Meiryo UI"/>
        <family val="0"/>
        <charset val="1"/>
      </rPr>
      <t xml:space="preserve">110,000,000÷(6.5×260×2,480</t>
    </r>
    <r>
      <rPr>
        <sz val="9"/>
        <rFont val="Noto Sans CJK SC"/>
        <family val="2"/>
      </rPr>
      <t xml:space="preserve">＋</t>
    </r>
    <r>
      <rPr>
        <sz val="9"/>
        <rFont val="Meiryo UI"/>
        <family val="0"/>
        <charset val="1"/>
      </rPr>
      <t xml:space="preserve">8,250,000)</t>
    </r>
    <r>
      <rPr>
        <sz val="9"/>
        <rFont val="Noto Sans CJK SC"/>
        <family val="2"/>
      </rPr>
      <t xml:space="preserve">＝</t>
    </r>
    <r>
      <rPr>
        <sz val="9"/>
        <rFont val="Meiryo UI"/>
        <family val="0"/>
        <charset val="1"/>
      </rPr>
      <t xml:space="preserve">8.85</t>
    </r>
    <r>
      <rPr>
        <sz val="9"/>
        <rFont val="Noto Sans CJK SC"/>
        <family val="2"/>
      </rPr>
      <t xml:space="preserve">年）。公募要領の算式も「削減工数</t>
    </r>
    <r>
      <rPr>
        <sz val="9"/>
        <rFont val="Meiryo UI"/>
        <family val="0"/>
        <charset val="1"/>
      </rPr>
      <t xml:space="preserve">×</t>
    </r>
    <r>
      <rPr>
        <sz val="9"/>
        <rFont val="Noto Sans CJK SC"/>
        <family val="2"/>
      </rPr>
      <t xml:space="preserve">年間稼働日数</t>
    </r>
    <r>
      <rPr>
        <sz val="9"/>
        <rFont val="Meiryo UI"/>
        <family val="0"/>
        <charset val="1"/>
      </rPr>
      <t xml:space="preserve">×</t>
    </r>
    <r>
      <rPr>
        <sz val="9"/>
        <rFont val="Noto Sans CJK SC"/>
        <family val="2"/>
      </rPr>
      <t xml:space="preserve">人件費単価（＝年額）＋増加した付加価値額」で、年額同士の合算が前提。
本計画は</t>
    </r>
    <r>
      <rPr>
        <sz val="9"/>
        <rFont val="Meiryo UI"/>
        <family val="0"/>
        <charset val="1"/>
      </rPr>
      <t xml:space="preserve">3</t>
    </r>
    <r>
      <rPr>
        <sz val="9"/>
        <rFont val="Noto Sans CJK SC"/>
        <family val="2"/>
      </rPr>
      <t xml:space="preserve">年間の増加総額</t>
    </r>
    <r>
      <rPr>
        <sz val="9"/>
        <rFont val="Meiryo UI"/>
        <family val="0"/>
        <charset val="1"/>
      </rPr>
      <t xml:space="preserve">297,960,717</t>
    </r>
    <r>
      <rPr>
        <sz val="9"/>
        <rFont val="Noto Sans CJK SC"/>
        <family val="2"/>
      </rPr>
      <t xml:space="preserve">円をそのまま加えており、手引きの方法では</t>
    </r>
    <r>
      <rPr>
        <sz val="9"/>
        <rFont val="Meiryo UI"/>
        <family val="0"/>
        <charset val="1"/>
      </rPr>
      <t xml:space="preserve">0.93</t>
    </r>
    <r>
      <rPr>
        <sz val="9"/>
        <rFont val="Noto Sans CJK SC"/>
        <family val="2"/>
      </rPr>
      <t xml:space="preserve">年になる。様式シート内の注記は「最終年度－基準年度」（</t>
    </r>
    <r>
      <rPr>
        <sz val="9"/>
        <rFont val="Meiryo UI"/>
        <family val="0"/>
        <charset val="1"/>
      </rPr>
      <t xml:space="preserve">÷</t>
    </r>
    <r>
      <rPr>
        <sz val="9"/>
        <rFont val="Noto Sans CJK SC"/>
        <family val="2"/>
      </rPr>
      <t xml:space="preserve">なし）のため公式資料間で不一致があるが、手引きの方法で検算されると「回収期間を過小に見せている」と受け取られるリスクがある（審査項目</t>
    </r>
    <r>
      <rPr>
        <sz val="9"/>
        <rFont val="Meiryo UI"/>
        <family val="0"/>
        <charset val="1"/>
      </rPr>
      <t xml:space="preserve">2-b</t>
    </r>
    <r>
      <rPr>
        <sz val="9"/>
        <rFont val="Noto Sans CJK SC"/>
        <family val="2"/>
      </rPr>
      <t xml:space="preserve">「算出根拠が妥当か」）。審査項目分析表</t>
    </r>
    <r>
      <rPr>
        <sz val="9"/>
        <rFont val="Meiryo UI"/>
        <family val="0"/>
        <charset val="1"/>
      </rPr>
      <t xml:space="preserve">2-b</t>
    </r>
    <r>
      <rPr>
        <sz val="9"/>
        <rFont val="Noto Sans CJK SC"/>
        <family val="2"/>
      </rPr>
      <t xml:space="preserve">も「</t>
    </r>
    <r>
      <rPr>
        <sz val="9"/>
        <rFont val="Meiryo UI"/>
        <family val="0"/>
        <charset val="1"/>
      </rPr>
      <t xml:space="preserve">÷</t>
    </r>
    <r>
      <rPr>
        <sz val="9"/>
        <rFont val="Noto Sans CJK SC"/>
        <family val="2"/>
      </rPr>
      <t xml:space="preserve">計画年数」と整理している。</t>
    </r>
  </si>
  <si>
    <r>
      <rPr>
        <sz val="9"/>
        <rFont val="Noto Sans CJK SC"/>
        <family val="2"/>
      </rPr>
      <t xml:space="preserve">主値を手引き方式の</t>
    </r>
    <r>
      <rPr>
        <sz val="9"/>
        <rFont val="Meiryo UI"/>
        <family val="0"/>
        <charset val="1"/>
      </rPr>
      <t xml:space="preserve">0.93</t>
    </r>
    <r>
      <rPr>
        <sz val="9"/>
        <rFont val="Noto Sans CJK SC"/>
        <family val="2"/>
      </rPr>
      <t xml:space="preserve">年に変更する（別紙３の「増加した付加価値額」に</t>
    </r>
    <r>
      <rPr>
        <sz val="9"/>
        <rFont val="Meiryo UI"/>
        <family val="0"/>
        <charset val="1"/>
      </rPr>
      <t xml:space="preserve">99,320,239</t>
    </r>
    <r>
      <rPr>
        <sz val="9"/>
        <rFont val="Noto Sans CJK SC"/>
        <family val="2"/>
      </rPr>
      <t xml:space="preserve">円＝</t>
    </r>
    <r>
      <rPr>
        <sz val="9"/>
        <rFont val="Meiryo UI"/>
        <family val="0"/>
        <charset val="1"/>
      </rPr>
      <t xml:space="preserve">297,960,717÷3</t>
    </r>
    <r>
      <rPr>
        <sz val="9"/>
        <rFont val="Noto Sans CJK SC"/>
        <family val="2"/>
      </rPr>
      <t xml:space="preserve">を入力→その３【３】も自動で</t>
    </r>
    <r>
      <rPr>
        <sz val="9"/>
        <rFont val="Meiryo UI"/>
        <family val="0"/>
        <charset val="1"/>
      </rPr>
      <t xml:space="preserve">0.93</t>
    </r>
    <r>
      <rPr>
        <sz val="9"/>
        <rFont val="Noto Sans CJK SC"/>
        <family val="2"/>
      </rPr>
      <t xml:space="preserve">年）。</t>
    </r>
    <r>
      <rPr>
        <sz val="9"/>
        <rFont val="Meiryo UI"/>
        <family val="0"/>
        <charset val="1"/>
      </rPr>
      <t xml:space="preserve">0.93</t>
    </r>
    <r>
      <rPr>
        <sz val="9"/>
        <rFont val="Noto Sans CJK SC"/>
        <family val="2"/>
      </rPr>
      <t xml:space="preserve">年でも</t>
    </r>
    <r>
      <rPr>
        <sz val="9"/>
        <rFont val="Meiryo UI"/>
        <family val="0"/>
        <charset val="1"/>
      </rPr>
      <t xml:space="preserve">1</t>
    </r>
    <r>
      <rPr>
        <sz val="9"/>
        <rFont val="Noto Sans CJK SC"/>
        <family val="2"/>
      </rPr>
      <t xml:space="preserve">年未満で、採択事例（</t>
    </r>
    <r>
      <rPr>
        <sz val="9"/>
        <rFont val="Meiryo UI"/>
        <family val="0"/>
        <charset val="1"/>
      </rPr>
      <t xml:space="preserve">0.17</t>
    </r>
    <r>
      <rPr>
        <sz val="9"/>
        <rFont val="Noto Sans CJK SC"/>
        <family val="2"/>
      </rPr>
      <t xml:space="preserve">〜</t>
    </r>
    <r>
      <rPr>
        <sz val="9"/>
        <rFont val="Meiryo UI"/>
        <family val="0"/>
        <charset val="1"/>
      </rPr>
      <t xml:space="preserve">0.76</t>
    </r>
    <r>
      <rPr>
        <sz val="9"/>
        <rFont val="Noto Sans CJK SC"/>
        <family val="2"/>
      </rPr>
      <t xml:space="preserve">年）と遜色はない。
</t>
    </r>
    <r>
      <rPr>
        <sz val="9"/>
        <rFont val="Meiryo UI"/>
        <family val="0"/>
        <charset val="1"/>
      </rPr>
      <t xml:space="preserve">0.33</t>
    </r>
    <r>
      <rPr>
        <sz val="9"/>
        <rFont val="Noto Sans CJK SC"/>
        <family val="2"/>
      </rPr>
      <t xml:space="preserve">年は記載しないか「（参考）様式注記の方法では</t>
    </r>
    <r>
      <rPr>
        <sz val="9"/>
        <rFont val="Meiryo UI"/>
        <family val="0"/>
        <charset val="1"/>
      </rPr>
      <t xml:space="preserve">0.33</t>
    </r>
    <r>
      <rPr>
        <sz val="9"/>
        <rFont val="Noto Sans CJK SC"/>
        <family val="2"/>
      </rPr>
      <t xml:space="preserve">年」程度にとどめる。</t>
    </r>
    <r>
      <rPr>
        <sz val="9"/>
        <rFont val="Meiryo UI"/>
        <family val="0"/>
        <charset val="1"/>
      </rPr>
      <t xml:space="preserve">2-2②</t>
    </r>
    <r>
      <rPr>
        <sz val="9"/>
        <rFont val="Noto Sans CJK SC"/>
        <family val="2"/>
      </rPr>
      <t xml:space="preserve">の見出し・本文・要素表、</t>
    </r>
    <r>
      <rPr>
        <sz val="9"/>
        <rFont val="Meiryo UI"/>
        <family val="0"/>
        <charset val="1"/>
      </rPr>
      <t xml:space="preserve">6</t>
    </r>
    <r>
      <rPr>
        <sz val="9"/>
        <rFont val="Noto Sans CJK SC"/>
        <family val="2"/>
      </rPr>
      <t xml:space="preserve">章①リスク②、その３（別紙３）【算定根拠】を連動して修正。</t>
    </r>
    <r>
      <rPr>
        <sz val="9"/>
        <rFont val="Meiryo UI"/>
        <family val="0"/>
        <charset val="1"/>
      </rPr>
      <t xml:space="preserve">G</t>
    </r>
    <r>
      <rPr>
        <sz val="9"/>
        <rFont val="Noto Sans CJK SC"/>
        <family val="2"/>
      </rPr>
      <t xml:space="preserve">ライン単独（</t>
    </r>
    <r>
      <rPr>
        <sz val="9"/>
        <rFont val="Meiryo UI"/>
        <family val="0"/>
        <charset val="1"/>
      </rPr>
      <t xml:space="preserve">1.59</t>
    </r>
    <r>
      <rPr>
        <sz val="9"/>
        <rFont val="Noto Sans CJK SC"/>
        <family val="2"/>
      </rPr>
      <t xml:space="preserve">年）は増加額が既に年額なので変更不要。</t>
    </r>
  </si>
  <si>
    <t xml:space="preserve">2-b</t>
  </si>
  <si>
    <r>
      <rPr>
        <sz val="9"/>
        <rFont val="Noto Sans CJK SC"/>
        <family val="2"/>
      </rPr>
      <t xml:space="preserve">手引き（第</t>
    </r>
    <r>
      <rPr>
        <sz val="9"/>
        <rFont val="Meiryo UI"/>
        <family val="0"/>
        <charset val="1"/>
      </rPr>
      <t xml:space="preserve">8</t>
    </r>
    <r>
      <rPr>
        <sz val="9"/>
        <rFont val="Noto Sans CJK SC"/>
        <family val="2"/>
      </rPr>
      <t xml:space="preserve">回）</t>
    </r>
    <r>
      <rPr>
        <sz val="9"/>
        <rFont val="Meiryo UI"/>
        <family val="0"/>
        <charset val="1"/>
      </rPr>
      <t xml:space="preserve">7-2 p.60</t>
    </r>
    <r>
      <rPr>
        <sz val="9"/>
        <rFont val="Noto Sans CJK SC"/>
        <family val="2"/>
      </rPr>
      <t xml:space="preserve">（別紙３）記入例／公募要領</t>
    </r>
    <r>
      <rPr>
        <sz val="9"/>
        <rFont val="Meiryo UI"/>
        <family val="0"/>
        <charset val="1"/>
      </rPr>
      <t xml:space="preserve">1-4(7)</t>
    </r>
    <r>
      <rPr>
        <sz val="9"/>
        <rFont val="Noto Sans CJK SC"/>
        <family val="2"/>
      </rPr>
      <t xml:space="preserve">／その３様式（別紙３）注記／審査項目分析表</t>
    </r>
    <r>
      <rPr>
        <sz val="9"/>
        <rFont val="Meiryo UI"/>
        <family val="0"/>
        <charset val="1"/>
      </rPr>
      <t xml:space="preserve">2-b</t>
    </r>
  </si>
  <si>
    <t xml:space="preserve">未対応</t>
  </si>
  <si>
    <t xml:space="preserve">①③</t>
  </si>
  <si>
    <t xml:space="preserve">要件（補助対象経費）</t>
  </si>
  <si>
    <r>
      <rPr>
        <sz val="9"/>
        <rFont val="Noto Sans CJK SC"/>
        <family val="2"/>
      </rPr>
      <t xml:space="preserve">その１その２：（４）経費一覧</t>
    </r>
    <r>
      <rPr>
        <sz val="9"/>
        <rFont val="Meiryo UI"/>
        <family val="0"/>
        <charset val="1"/>
      </rPr>
      <t xml:space="preserve">No.5</t>
    </r>
    <r>
      <rPr>
        <sz val="9"/>
        <rFont val="Noto Sans CJK SC"/>
        <family val="2"/>
      </rPr>
      <t xml:space="preserve">・</t>
    </r>
    <r>
      <rPr>
        <sz val="9"/>
        <rFont val="Meiryo UI"/>
        <family val="0"/>
        <charset val="1"/>
      </rPr>
      <t xml:space="preserve">No.6</t>
    </r>
    <r>
      <rPr>
        <sz val="9"/>
        <rFont val="Noto Sans CJK SC"/>
        <family val="2"/>
      </rPr>
      <t xml:space="preserve">、</t>
    </r>
    <r>
      <rPr>
        <sz val="9"/>
        <rFont val="Meiryo UI"/>
        <family val="0"/>
        <charset val="1"/>
      </rPr>
      <t xml:space="preserve">2</t>
    </r>
    <r>
      <rPr>
        <sz val="9"/>
        <rFont val="Noto Sans CJK SC"/>
        <family val="2"/>
      </rPr>
      <t xml:space="preserve">章②表</t>
    </r>
    <r>
      <rPr>
        <sz val="9"/>
        <rFont val="Meiryo UI"/>
        <family val="0"/>
        <charset val="1"/>
      </rPr>
      <t xml:space="preserve">No.5</t>
    </r>
    <r>
      <rPr>
        <sz val="9"/>
        <rFont val="Noto Sans CJK SC"/>
        <family val="2"/>
      </rPr>
      <t xml:space="preserve">・</t>
    </r>
    <r>
      <rPr>
        <sz val="9"/>
        <rFont val="Meiryo UI"/>
        <family val="0"/>
        <charset val="1"/>
      </rPr>
      <t xml:space="preserve">No.6</t>
    </r>
    <r>
      <rPr>
        <sz val="9"/>
        <rFont val="Noto Sans CJK SC"/>
        <family val="2"/>
      </rPr>
      <t xml:space="preserve">、</t>
    </r>
    <r>
      <rPr>
        <sz val="9"/>
        <rFont val="Meiryo UI"/>
        <family val="0"/>
        <charset val="1"/>
      </rPr>
      <t xml:space="preserve">2</t>
    </r>
    <r>
      <rPr>
        <sz val="9"/>
        <rFont val="Noto Sans CJK SC"/>
        <family val="2"/>
      </rPr>
      <t xml:space="preserve">章④「既設機を活かす改造で投資額も抑えている」、</t>
    </r>
    <r>
      <rPr>
        <sz val="9"/>
        <rFont val="Meiryo UI"/>
        <family val="0"/>
        <charset val="1"/>
      </rPr>
      <t xml:space="preserve">2</t>
    </r>
    <r>
      <rPr>
        <sz val="9"/>
        <rFont val="Noto Sans CJK SC"/>
        <family val="2"/>
      </rPr>
      <t xml:space="preserve">章⑤、</t>
    </r>
    <r>
      <rPr>
        <sz val="9"/>
        <rFont val="Meiryo UI"/>
        <family val="0"/>
        <charset val="1"/>
      </rPr>
      <t xml:space="preserve">4</t>
    </r>
    <r>
      <rPr>
        <sz val="9"/>
        <rFont val="Noto Sans CJK SC"/>
        <family val="2"/>
      </rPr>
      <t xml:space="preserve">章①
その３：（別紙３）投資総額の根拠</t>
    </r>
  </si>
  <si>
    <r>
      <rPr>
        <sz val="9"/>
        <rFont val="Noto Sans CJK SC"/>
        <family val="2"/>
      </rPr>
      <t xml:space="preserve">「</t>
    </r>
    <r>
      <rPr>
        <sz val="9"/>
        <rFont val="Meiryo UI"/>
        <family val="0"/>
        <charset val="1"/>
      </rPr>
      <t xml:space="preserve">No.5 </t>
    </r>
    <r>
      <rPr>
        <sz val="9"/>
        <rFont val="Noto Sans CJK SC"/>
        <family val="2"/>
      </rPr>
      <t xml:space="preserve">機械装置・システム構築費　既設</t>
    </r>
    <r>
      <rPr>
        <sz val="9"/>
        <rFont val="Meiryo UI"/>
        <family val="0"/>
        <charset val="1"/>
      </rPr>
      <t xml:space="preserve">SPM</t>
    </r>
    <r>
      <rPr>
        <sz val="9"/>
        <rFont val="Noto Sans CJK SC"/>
        <family val="2"/>
      </rPr>
      <t xml:space="preserve">機（製袋機）改造部品・設計変更費　</t>
    </r>
    <r>
      <rPr>
        <sz val="9"/>
        <rFont val="Meiryo UI"/>
        <family val="0"/>
        <charset val="1"/>
      </rPr>
      <t xml:space="preserve">1</t>
    </r>
    <r>
      <rPr>
        <sz val="9"/>
        <rFont val="Noto Sans CJK SC"/>
        <family val="2"/>
      </rPr>
      <t xml:space="preserve">式　</t>
    </r>
    <r>
      <rPr>
        <sz val="9"/>
        <rFont val="Meiryo UI"/>
        <family val="0"/>
        <charset val="1"/>
      </rPr>
      <t xml:space="preserve">3,600,000</t>
    </r>
    <r>
      <rPr>
        <sz val="9"/>
        <rFont val="Noto Sans CJK SC"/>
        <family val="2"/>
      </rPr>
      <t xml:space="preserve">円」
「</t>
    </r>
    <r>
      <rPr>
        <sz val="9"/>
        <rFont val="Meiryo UI"/>
        <family val="0"/>
        <charset val="1"/>
      </rPr>
      <t xml:space="preserve">No.6 </t>
    </r>
    <r>
      <rPr>
        <sz val="9"/>
        <rFont val="Noto Sans CJK SC"/>
        <family val="2"/>
      </rPr>
      <t xml:space="preserve">機械装置・システム構築費　現地改造工事費（工事〜調整〜生産立会 約</t>
    </r>
    <r>
      <rPr>
        <sz val="9"/>
        <rFont val="Meiryo UI"/>
        <family val="0"/>
        <charset val="1"/>
      </rPr>
      <t xml:space="preserve">11</t>
    </r>
    <r>
      <rPr>
        <sz val="9"/>
        <rFont val="Noto Sans CJK SC"/>
        <family val="2"/>
      </rPr>
      <t xml:space="preserve">日）　</t>
    </r>
    <r>
      <rPr>
        <sz val="9"/>
        <rFont val="Meiryo UI"/>
        <family val="0"/>
        <charset val="1"/>
      </rPr>
      <t xml:space="preserve">4,100,000</t>
    </r>
    <r>
      <rPr>
        <sz val="9"/>
        <rFont val="Noto Sans CJK SC"/>
        <family val="2"/>
      </rPr>
      <t xml:space="preserve">円」</t>
    </r>
  </si>
  <si>
    <r>
      <rPr>
        <sz val="9"/>
        <rFont val="Noto Sans CJK SC"/>
        <family val="2"/>
      </rPr>
      <t xml:space="preserve">よくあるご質問（第</t>
    </r>
    <r>
      <rPr>
        <sz val="9"/>
        <rFont val="Meiryo UI"/>
        <family val="0"/>
        <charset val="1"/>
      </rPr>
      <t xml:space="preserve">5</t>
    </r>
    <r>
      <rPr>
        <sz val="9"/>
        <rFont val="Noto Sans CJK SC"/>
        <family val="2"/>
      </rPr>
      <t xml:space="preserve">〜</t>
    </r>
    <r>
      <rPr>
        <sz val="9"/>
        <rFont val="Meiryo UI"/>
        <family val="0"/>
        <charset val="1"/>
      </rPr>
      <t xml:space="preserve">8</t>
    </r>
    <r>
      <rPr>
        <sz val="9"/>
        <rFont val="Noto Sans CJK SC"/>
        <family val="2"/>
      </rPr>
      <t xml:space="preserve">回、</t>
    </r>
    <r>
      <rPr>
        <sz val="9"/>
        <rFont val="Meiryo UI"/>
        <family val="0"/>
        <charset val="1"/>
      </rPr>
      <t xml:space="preserve">2026/08/18</t>
    </r>
    <r>
      <rPr>
        <sz val="9"/>
        <rFont val="Noto Sans CJK SC"/>
        <family val="2"/>
      </rPr>
      <t xml:space="preserve">更新）「応募・交付申請」</t>
    </r>
    <r>
      <rPr>
        <sz val="9"/>
        <rFont val="Meiryo UI"/>
        <family val="0"/>
        <charset val="1"/>
      </rPr>
      <t xml:space="preserve">No.17</t>
    </r>
    <r>
      <rPr>
        <sz val="9"/>
        <rFont val="Noto Sans CJK SC"/>
        <family val="2"/>
      </rPr>
      <t xml:space="preserve">は、改良・据付けが補助対象となるのは「本補助金で新たに購入・製作（構築）・借用した機械装置・システム」の改良・据付けに限られ、「既存の機械装置・システムの改良又は据付けに要する経費は対象外」と明記している。手引き</t>
    </r>
    <r>
      <rPr>
        <sz val="9"/>
        <rFont val="Meiryo UI"/>
        <family val="0"/>
        <charset val="1"/>
      </rPr>
      <t xml:space="preserve">5-3</t>
    </r>
    <r>
      <rPr>
        <sz val="9"/>
        <rFont val="Noto Sans CJK SC"/>
        <family val="2"/>
      </rPr>
      <t xml:space="preserve">でも「改良＝本事業で新たに購入する機械装置・システムの機能を高める又は耐久性を増すもの」「据付け＝新たに購入する機械装置の設置と一体の軽微なもの（設置場所の整備工事・基礎工事は含まない）」とされる。
</t>
    </r>
    <r>
      <rPr>
        <sz val="9"/>
        <rFont val="Meiryo UI"/>
        <family val="0"/>
        <charset val="1"/>
      </rPr>
      <t xml:space="preserve">No.5</t>
    </r>
    <r>
      <rPr>
        <sz val="9"/>
        <rFont val="Noto Sans CJK SC"/>
        <family val="2"/>
      </rPr>
      <t xml:space="preserve">は既設機（</t>
    </r>
    <r>
      <rPr>
        <sz val="9"/>
        <rFont val="Meiryo UI"/>
        <family val="0"/>
        <charset val="1"/>
      </rPr>
      <t xml:space="preserve">SPM</t>
    </r>
    <r>
      <rPr>
        <sz val="9"/>
        <rFont val="Noto Sans CJK SC"/>
        <family val="2"/>
      </rPr>
      <t xml:space="preserve">機）の改造費そのもの、</t>
    </r>
    <r>
      <rPr>
        <sz val="9"/>
        <rFont val="Meiryo UI"/>
        <family val="0"/>
        <charset val="1"/>
      </rPr>
      <t xml:space="preserve">No.6</t>
    </r>
    <r>
      <rPr>
        <sz val="9"/>
        <rFont val="Noto Sans CJK SC"/>
        <family val="2"/>
      </rPr>
      <t xml:space="preserve">も既設機の改造工事を含むため、補助対象外と判断されるリスクが高い（最大</t>
    </r>
    <r>
      <rPr>
        <sz val="9"/>
        <rFont val="Meiryo UI"/>
        <family val="0"/>
        <charset val="1"/>
      </rPr>
      <t xml:space="preserve">770</t>
    </r>
    <r>
      <rPr>
        <sz val="9"/>
        <rFont val="Noto Sans CJK SC"/>
        <family val="2"/>
      </rPr>
      <t xml:space="preserve">万円、補助金換算で約</t>
    </r>
    <r>
      <rPr>
        <sz val="9"/>
        <rFont val="Meiryo UI"/>
        <family val="0"/>
        <charset val="1"/>
      </rPr>
      <t xml:space="preserve">385</t>
    </r>
    <r>
      <rPr>
        <sz val="9"/>
        <rFont val="Noto Sans CJK SC"/>
        <family val="2"/>
      </rPr>
      <t xml:space="preserve">万円）。対象外の経費を補助対象に計上していると、交付申請時の減額だけでなく、審査で経費の妥当性に疑義を持たれる要因にもなる。</t>
    </r>
  </si>
  <si>
    <r>
      <rPr>
        <sz val="9"/>
        <rFont val="Meiryo UI"/>
        <family val="0"/>
        <charset val="1"/>
      </rPr>
      <t xml:space="preserve">①No.5</t>
    </r>
    <r>
      <rPr>
        <sz val="9"/>
        <rFont val="Noto Sans CJK SC"/>
        <family val="2"/>
      </rPr>
      <t xml:space="preserve">は補助対象外経費として補助対象から外し、自己資金で実施する経費として別記する（税込の投資総額には含める）。
②</t>
    </r>
    <r>
      <rPr>
        <sz val="9"/>
        <rFont val="Meiryo UI"/>
        <family val="0"/>
        <charset val="1"/>
      </rPr>
      <t xml:space="preserve">No.6</t>
    </r>
    <r>
      <rPr>
        <sz val="9"/>
        <rFont val="Noto Sans CJK SC"/>
        <family val="2"/>
      </rPr>
      <t xml:space="preserve">はフジシールに「新設装置（ロボット・</t>
    </r>
    <r>
      <rPr>
        <sz val="9"/>
        <rFont val="Meiryo UI"/>
        <family val="0"/>
        <charset val="1"/>
      </rPr>
      <t xml:space="preserve">U</t>
    </r>
    <r>
      <rPr>
        <sz val="9"/>
        <rFont val="Noto Sans CJK SC"/>
        <family val="2"/>
      </rPr>
      <t xml:space="preserve">字型コンベア）の据付・試運転調整・立会」と「既設</t>
    </r>
    <r>
      <rPr>
        <sz val="9"/>
        <rFont val="Meiryo UI"/>
        <family val="0"/>
        <charset val="1"/>
      </rPr>
      <t xml:space="preserve">SPM</t>
    </r>
    <r>
      <rPr>
        <sz val="9"/>
        <rFont val="Noto Sans CJK SC"/>
        <family val="2"/>
      </rPr>
      <t xml:space="preserve">機の改造工事」に見積を分けてもらい、前者のみ計上する。
③値引▲</t>
    </r>
    <r>
      <rPr>
        <sz val="9"/>
        <rFont val="Meiryo UI"/>
        <family val="0"/>
        <charset val="1"/>
      </rPr>
      <t xml:space="preserve">4,790,000</t>
    </r>
    <r>
      <rPr>
        <sz val="9"/>
        <rFont val="Noto Sans CJK SC"/>
        <family val="2"/>
      </rPr>
      <t xml:space="preserve">円の配分も見積上で明確にする。
④補助対象経費・補助金額・自己資金を再計算する（（４）表、</t>
    </r>
    <r>
      <rPr>
        <sz val="9"/>
        <rFont val="Meiryo UI"/>
        <family val="0"/>
        <charset val="1"/>
      </rPr>
      <t xml:space="preserve">2</t>
    </r>
    <r>
      <rPr>
        <sz val="9"/>
        <rFont val="Noto Sans CJK SC"/>
        <family val="2"/>
      </rPr>
      <t xml:space="preserve">章⑤、</t>
    </r>
    <r>
      <rPr>
        <sz val="9"/>
        <rFont val="Meiryo UI"/>
        <family val="0"/>
        <charset val="1"/>
      </rPr>
      <t xml:space="preserve">4</t>
    </r>
    <r>
      <rPr>
        <sz val="9"/>
        <rFont val="Noto Sans CJK SC"/>
        <family val="2"/>
      </rPr>
      <t xml:space="preserve">章①の調達表、その３（別紙３））。
⑤判断に迷う場合は、事務局に「新設装置と接続するための既設機側の改造費」の扱いを事前に確認する。</t>
    </r>
  </si>
  <si>
    <r>
      <rPr>
        <sz val="9"/>
        <rFont val="Meiryo UI"/>
        <family val="0"/>
        <charset val="1"/>
      </rPr>
      <t xml:space="preserve">1-a</t>
    </r>
    <r>
      <rPr>
        <sz val="9"/>
        <rFont val="Noto Sans CJK SC"/>
        <family val="2"/>
      </rPr>
      <t xml:space="preserve">、必須</t>
    </r>
    <r>
      <rPr>
        <sz val="9"/>
        <rFont val="Meiryo UI"/>
        <family val="0"/>
        <charset val="1"/>
      </rPr>
      <t xml:space="preserve">7</t>
    </r>
  </si>
  <si>
    <r>
      <rPr>
        <sz val="9"/>
        <rFont val="Meiryo UI"/>
        <family val="0"/>
        <charset val="1"/>
      </rPr>
      <t xml:space="preserve">FAQ</t>
    </r>
    <r>
      <rPr>
        <sz val="9"/>
        <rFont val="Noto Sans CJK SC"/>
        <family val="2"/>
      </rPr>
      <t xml:space="preserve">「応募・交付申請」</t>
    </r>
    <r>
      <rPr>
        <sz val="9"/>
        <rFont val="Meiryo UI"/>
        <family val="0"/>
        <charset val="1"/>
      </rPr>
      <t xml:space="preserve">No.17</t>
    </r>
    <r>
      <rPr>
        <sz val="9"/>
        <rFont val="Noto Sans CJK SC"/>
        <family val="2"/>
      </rPr>
      <t xml:space="preserve">／公募要領</t>
    </r>
    <r>
      <rPr>
        <sz val="9"/>
        <rFont val="Meiryo UI"/>
        <family val="0"/>
        <charset val="1"/>
      </rPr>
      <t xml:space="preserve">3-2 </t>
    </r>
    <r>
      <rPr>
        <sz val="9"/>
        <rFont val="Noto Sans CJK SC"/>
        <family val="2"/>
      </rPr>
      <t xml:space="preserve">機械装置・システム構築費③※</t>
    </r>
    <r>
      <rPr>
        <sz val="9"/>
        <rFont val="Meiryo UI"/>
        <family val="0"/>
        <charset val="1"/>
      </rPr>
      <t xml:space="preserve">4</t>
    </r>
    <r>
      <rPr>
        <sz val="9"/>
        <rFont val="Noto Sans CJK SC"/>
        <family val="2"/>
      </rPr>
      <t xml:space="preserve">・※</t>
    </r>
    <r>
      <rPr>
        <sz val="9"/>
        <rFont val="Meiryo UI"/>
        <family val="0"/>
        <charset val="1"/>
      </rPr>
      <t xml:space="preserve">5</t>
    </r>
    <r>
      <rPr>
        <sz val="9"/>
        <rFont val="Noto Sans CJK SC"/>
        <family val="2"/>
      </rPr>
      <t xml:space="preserve">／手引き</t>
    </r>
    <r>
      <rPr>
        <sz val="9"/>
        <rFont val="Meiryo UI"/>
        <family val="0"/>
        <charset val="1"/>
      </rPr>
      <t xml:space="preserve">5-3 p.43</t>
    </r>
  </si>
  <si>
    <t xml:space="preserve">要件（経費区分）</t>
  </si>
  <si>
    <t xml:space="preserve">その１その２／申請システム</t>
  </si>
  <si>
    <r>
      <rPr>
        <sz val="9"/>
        <rFont val="Noto Sans CJK SC"/>
        <family val="2"/>
      </rPr>
      <t xml:space="preserve">（４）経費一覧</t>
    </r>
    <r>
      <rPr>
        <sz val="9"/>
        <rFont val="Meiryo UI"/>
        <family val="0"/>
        <charset val="1"/>
      </rPr>
      <t xml:space="preserve">No.4</t>
    </r>
  </si>
  <si>
    <r>
      <rPr>
        <sz val="9"/>
        <rFont val="Noto Sans CJK SC"/>
        <family val="2"/>
      </rPr>
      <t xml:space="preserve">「</t>
    </r>
    <r>
      <rPr>
        <sz val="9"/>
        <rFont val="Meiryo UI"/>
        <family val="0"/>
        <charset val="1"/>
      </rPr>
      <t xml:space="preserve">No.4 </t>
    </r>
    <r>
      <rPr>
        <sz val="9"/>
        <rFont val="Noto Sans CJK SC"/>
        <family val="2"/>
      </rPr>
      <t xml:space="preserve">運搬費　装置輸送費（車上渡し）　</t>
    </r>
    <r>
      <rPr>
        <sz val="9"/>
        <rFont val="Meiryo UI"/>
        <family val="0"/>
        <charset val="1"/>
      </rPr>
      <t xml:space="preserve">1</t>
    </r>
    <r>
      <rPr>
        <sz val="9"/>
        <rFont val="Noto Sans CJK SC"/>
        <family val="2"/>
      </rPr>
      <t xml:space="preserve">式　</t>
    </r>
    <r>
      <rPr>
        <sz val="9"/>
        <rFont val="Meiryo UI"/>
        <family val="0"/>
        <charset val="1"/>
      </rPr>
      <t xml:space="preserve">300,000</t>
    </r>
    <r>
      <rPr>
        <sz val="9"/>
        <rFont val="Noto Sans CJK SC"/>
        <family val="2"/>
      </rPr>
      <t xml:space="preserve">円」</t>
    </r>
  </si>
  <si>
    <r>
      <rPr>
        <sz val="9"/>
        <rFont val="Noto Sans CJK SC"/>
        <family val="2"/>
      </rPr>
      <t xml:space="preserve">公募要領</t>
    </r>
    <r>
      <rPr>
        <sz val="9"/>
        <rFont val="Meiryo UI"/>
        <family val="0"/>
        <charset val="1"/>
      </rPr>
      <t xml:space="preserve">3-2</t>
    </r>
    <r>
      <rPr>
        <sz val="9"/>
        <rFont val="Noto Sans CJK SC"/>
        <family val="2"/>
      </rPr>
      <t xml:space="preserve">・手引き</t>
    </r>
    <r>
      <rPr>
        <sz val="9"/>
        <rFont val="Meiryo UI"/>
        <family val="0"/>
        <charset val="1"/>
      </rPr>
      <t xml:space="preserve">5-3</t>
    </r>
    <r>
      <rPr>
        <sz val="9"/>
        <rFont val="Noto Sans CJK SC"/>
        <family val="2"/>
      </rPr>
      <t xml:space="preserve">「２．運搬費」に「※購入時の機械装置の運搬料については、機械装置費に含めてください」とある。装置輸送費は購入する機械装置の運搬料なので、経費区分は「機械装置・システム構築費」が正しい。</t>
    </r>
  </si>
  <si>
    <r>
      <rPr>
        <sz val="9"/>
        <rFont val="Noto Sans CJK SC"/>
        <family val="2"/>
      </rPr>
      <t xml:space="preserve">（４）表</t>
    </r>
    <r>
      <rPr>
        <sz val="9"/>
        <rFont val="Meiryo UI"/>
        <family val="0"/>
        <charset val="1"/>
      </rPr>
      <t xml:space="preserve">No.4</t>
    </r>
    <r>
      <rPr>
        <sz val="9"/>
        <rFont val="Noto Sans CJK SC"/>
        <family val="2"/>
      </rPr>
      <t xml:space="preserve">の経費区分を「機械装置・システム構築費」に変更する（申請システムの経費入力も同様）。</t>
    </r>
  </si>
  <si>
    <t xml:space="preserve">1-a</t>
  </si>
  <si>
    <r>
      <rPr>
        <sz val="9"/>
        <rFont val="Noto Sans CJK SC"/>
        <family val="2"/>
      </rPr>
      <t xml:space="preserve">公募要領</t>
    </r>
    <r>
      <rPr>
        <sz val="9"/>
        <rFont val="Meiryo UI"/>
        <family val="0"/>
        <charset val="1"/>
      </rPr>
      <t xml:space="preserve">3-2 </t>
    </r>
    <r>
      <rPr>
        <sz val="9"/>
        <rFont val="Noto Sans CJK SC"/>
        <family val="2"/>
      </rPr>
      <t xml:space="preserve">運搬費の※／手引き</t>
    </r>
    <r>
      <rPr>
        <sz val="9"/>
        <rFont val="Meiryo UI"/>
        <family val="0"/>
        <charset val="1"/>
      </rPr>
      <t xml:space="preserve">5-3 p.44</t>
    </r>
  </si>
  <si>
    <t xml:space="preserve">論理・整合／説得力</t>
  </si>
  <si>
    <r>
      <rPr>
        <sz val="9"/>
        <rFont val="Noto Sans CJK SC"/>
        <family val="2"/>
      </rPr>
      <t xml:space="preserve">その１その２：</t>
    </r>
    <r>
      <rPr>
        <sz val="9"/>
        <rFont val="Meiryo UI"/>
        <family val="0"/>
        <charset val="1"/>
      </rPr>
      <t xml:space="preserve">1-2①</t>
    </r>
    <r>
      <rPr>
        <sz val="9"/>
        <rFont val="Noto Sans CJK SC"/>
        <family val="2"/>
      </rPr>
      <t xml:space="preserve">、</t>
    </r>
    <r>
      <rPr>
        <sz val="9"/>
        <rFont val="Meiryo UI"/>
        <family val="0"/>
        <charset val="1"/>
      </rPr>
      <t xml:space="preserve">2-2①</t>
    </r>
    <r>
      <rPr>
        <sz val="9"/>
        <rFont val="Noto Sans CJK SC"/>
        <family val="2"/>
      </rPr>
      <t xml:space="preserve">「受注」行、</t>
    </r>
    <r>
      <rPr>
        <sz val="9"/>
        <rFont val="Meiryo UI"/>
        <family val="0"/>
        <charset val="1"/>
      </rPr>
      <t xml:space="preserve">2-2②G</t>
    </r>
    <r>
      <rPr>
        <sz val="9"/>
        <rFont val="Noto Sans CJK SC"/>
        <family val="2"/>
      </rPr>
      <t xml:space="preserve">ライン部門単独、</t>
    </r>
    <r>
      <rPr>
        <sz val="9"/>
        <rFont val="Meiryo UI"/>
        <family val="0"/>
        <charset val="1"/>
      </rPr>
      <t xml:space="preserve">3</t>
    </r>
    <r>
      <rPr>
        <sz val="9"/>
        <rFont val="Noto Sans CJK SC"/>
        <family val="2"/>
      </rPr>
      <t xml:space="preserve">章③、</t>
    </r>
    <r>
      <rPr>
        <sz val="9"/>
        <rFont val="Meiryo UI"/>
        <family val="0"/>
        <charset val="1"/>
      </rPr>
      <t xml:space="preserve">4</t>
    </r>
    <r>
      <rPr>
        <sz val="9"/>
        <rFont val="Noto Sans CJK SC"/>
        <family val="2"/>
      </rPr>
      <t xml:space="preserve">章②各年度サマリ・【</t>
    </r>
    <r>
      <rPr>
        <sz val="9"/>
        <rFont val="Meiryo UI"/>
        <family val="0"/>
        <charset val="1"/>
      </rPr>
      <t xml:space="preserve">1</t>
    </r>
    <r>
      <rPr>
        <sz val="9"/>
        <rFont val="Noto Sans CJK SC"/>
        <family val="2"/>
      </rPr>
      <t xml:space="preserve">】①顧客（断った案件）、</t>
    </r>
    <r>
      <rPr>
        <sz val="9"/>
        <rFont val="Meiryo UI"/>
        <family val="0"/>
        <charset val="1"/>
      </rPr>
      <t xml:space="preserve">6</t>
    </r>
    <r>
      <rPr>
        <sz val="9"/>
        <rFont val="Noto Sans CJK SC"/>
        <family val="2"/>
      </rPr>
      <t xml:space="preserve">章①②
その３：【算定根拠】①</t>
    </r>
    <r>
      <rPr>
        <sz val="9"/>
        <rFont val="Meiryo UI"/>
        <family val="0"/>
        <charset val="1"/>
      </rPr>
      <t xml:space="preserve">(1)</t>
    </r>
    <r>
      <rPr>
        <sz val="9"/>
        <rFont val="Noto Sans CJK SC"/>
        <family val="2"/>
      </rPr>
      <t xml:space="preserve">、（別紙３）</t>
    </r>
    <r>
      <rPr>
        <sz val="9"/>
        <rFont val="Meiryo UI"/>
        <family val="0"/>
        <charset val="1"/>
      </rPr>
      <t xml:space="preserve">G</t>
    </r>
    <r>
      <rPr>
        <sz val="9"/>
        <rFont val="Noto Sans CJK SC"/>
        <family val="2"/>
      </rPr>
      <t xml:space="preserve">ライン部門</t>
    </r>
  </si>
  <si>
    <r>
      <rPr>
        <sz val="9"/>
        <rFont val="Noto Sans CJK SC"/>
        <family val="2"/>
      </rPr>
      <t xml:space="preserve">「本装置は製袋機の能力（</t>
    </r>
    <r>
      <rPr>
        <sz val="9"/>
        <rFont val="Meiryo UI"/>
        <family val="0"/>
        <charset val="1"/>
      </rPr>
      <t xml:space="preserve">150</t>
    </r>
    <r>
      <rPr>
        <sz val="9"/>
        <rFont val="Noto Sans CJK SC"/>
        <family val="2"/>
      </rPr>
      <t xml:space="preserve">袋／分）を上げない。この規模の案件は、遅番を社員</t>
    </r>
    <r>
      <rPr>
        <sz val="9"/>
        <rFont val="Meiryo UI"/>
        <family val="0"/>
        <charset val="1"/>
      </rPr>
      <t xml:space="preserve">1</t>
    </r>
    <r>
      <rPr>
        <sz val="9"/>
        <rFont val="Noto Sans CJK SC"/>
        <family val="2"/>
      </rPr>
      <t xml:space="preserve">名で回せることで生まれる稼働の余地で受ける」（</t>
    </r>
    <r>
      <rPr>
        <sz val="9"/>
        <rFont val="Meiryo UI"/>
        <family val="0"/>
        <charset val="1"/>
      </rPr>
      <t xml:space="preserve">4</t>
    </r>
    <r>
      <rPr>
        <sz val="9"/>
        <rFont val="Noto Sans CJK SC"/>
        <family val="2"/>
      </rPr>
      <t xml:space="preserve">章【</t>
    </r>
    <r>
      <rPr>
        <sz val="9"/>
        <rFont val="Meiryo UI"/>
        <family val="0"/>
        <charset val="1"/>
      </rPr>
      <t xml:space="preserve">1</t>
    </r>
    <r>
      <rPr>
        <sz val="9"/>
        <rFont val="Noto Sans CJK SC"/>
        <family val="2"/>
      </rPr>
      <t xml:space="preserve">】）
「キャパ不足で断っていた約</t>
    </r>
    <r>
      <rPr>
        <sz val="9"/>
        <rFont val="Meiryo UI"/>
        <family val="0"/>
        <charset val="1"/>
      </rPr>
      <t xml:space="preserve">4</t>
    </r>
    <r>
      <rPr>
        <sz val="9"/>
        <rFont val="Noto Sans CJK SC"/>
        <family val="2"/>
      </rPr>
      <t xml:space="preserve">億円規模の案件（年</t>
    </r>
    <r>
      <rPr>
        <sz val="9"/>
        <rFont val="Meiryo UI"/>
        <family val="0"/>
        <charset val="1"/>
      </rPr>
      <t xml:space="preserve">800</t>
    </r>
    <r>
      <rPr>
        <sz val="9"/>
        <rFont val="Noto Sans CJK SC"/>
        <family val="2"/>
      </rPr>
      <t xml:space="preserve">万袋</t>
    </r>
    <r>
      <rPr>
        <sz val="9"/>
        <rFont val="Meiryo UI"/>
        <family val="0"/>
        <charset val="1"/>
      </rPr>
      <t xml:space="preserve">×50</t>
    </r>
    <r>
      <rPr>
        <sz val="9"/>
        <rFont val="Noto Sans CJK SC"/>
        <family val="2"/>
      </rPr>
      <t xml:space="preserve">円）を取り込み、</t>
    </r>
    <r>
      <rPr>
        <sz val="9"/>
        <rFont val="Meiryo UI"/>
        <family val="0"/>
        <charset val="1"/>
      </rPr>
      <t xml:space="preserve">1</t>
    </r>
    <r>
      <rPr>
        <sz val="9"/>
        <rFont val="Noto Sans CJK SC"/>
        <family val="2"/>
      </rPr>
      <t xml:space="preserve">年目は前年比＋</t>
    </r>
    <r>
      <rPr>
        <sz val="9"/>
        <rFont val="Meiryo UI"/>
        <family val="0"/>
        <charset val="1"/>
      </rPr>
      <t xml:space="preserve">4.0</t>
    </r>
    <r>
      <rPr>
        <sz val="9"/>
        <rFont val="Noto Sans CJK SC"/>
        <family val="2"/>
      </rPr>
      <t xml:space="preserve">％（＋</t>
    </r>
    <r>
      <rPr>
        <sz val="9"/>
        <rFont val="Meiryo UI"/>
        <family val="0"/>
        <charset val="1"/>
      </rPr>
      <t xml:space="preserve">460</t>
    </r>
    <r>
      <rPr>
        <sz val="9"/>
        <rFont val="Noto Sans CJK SC"/>
        <family val="2"/>
      </rPr>
      <t xml:space="preserve">百万円）」（その３①）</t>
    </r>
  </si>
  <si>
    <r>
      <rPr>
        <sz val="9"/>
        <rFont val="Meiryo UI"/>
        <family val="0"/>
        <charset val="1"/>
      </rPr>
      <t xml:space="preserve">1</t>
    </r>
    <r>
      <rPr>
        <sz val="9"/>
        <rFont val="Noto Sans CJK SC"/>
        <family val="2"/>
      </rPr>
      <t xml:space="preserve">年目の増収（＋</t>
    </r>
    <r>
      <rPr>
        <sz val="9"/>
        <rFont val="Meiryo UI"/>
        <family val="0"/>
        <charset val="1"/>
      </rPr>
      <t xml:space="preserve">460</t>
    </r>
    <r>
      <rPr>
        <sz val="9"/>
        <rFont val="Noto Sans CJK SC"/>
        <family val="2"/>
      </rPr>
      <t xml:space="preserve">百万円）の主な根拠は「生産能力不足で断った年</t>
    </r>
    <r>
      <rPr>
        <sz val="9"/>
        <rFont val="Meiryo UI"/>
        <family val="0"/>
        <charset val="1"/>
      </rPr>
      <t xml:space="preserve">800</t>
    </r>
    <r>
      <rPr>
        <sz val="9"/>
        <rFont val="Noto Sans CJK SC"/>
        <family val="2"/>
      </rPr>
      <t xml:space="preserve">万袋（約</t>
    </r>
    <r>
      <rPr>
        <sz val="9"/>
        <rFont val="Meiryo UI"/>
        <family val="0"/>
        <charset val="1"/>
      </rPr>
      <t xml:space="preserve">4</t>
    </r>
    <r>
      <rPr>
        <sz val="9"/>
        <rFont val="Noto Sans CJK SC"/>
        <family val="2"/>
      </rPr>
      <t xml:space="preserve">億円）の案件の取込み」だが、計画書自身が①装置は製袋機の能力を上げない、②稼働は</t>
    </r>
    <r>
      <rPr>
        <sz val="9"/>
        <rFont val="Meiryo UI"/>
        <family val="0"/>
        <charset val="1"/>
      </rPr>
      <t xml:space="preserve">17.5</t>
    </r>
    <r>
      <rPr>
        <sz val="9"/>
        <rFont val="Noto Sans CJK SC"/>
        <family val="2"/>
      </rPr>
      <t xml:space="preserve">時間のまま（現状もカバー出勤で</t>
    </r>
    <r>
      <rPr>
        <sz val="9"/>
        <rFont val="Meiryo UI"/>
        <family val="0"/>
        <charset val="1"/>
      </rPr>
      <t xml:space="preserve">17.5</t>
    </r>
    <r>
      <rPr>
        <sz val="9"/>
        <rFont val="Noto Sans CJK SC"/>
        <family val="2"/>
      </rPr>
      <t xml:space="preserve">時間稼働を維持）と明記しており、追加の</t>
    </r>
    <r>
      <rPr>
        <sz val="9"/>
        <rFont val="Meiryo UI"/>
        <family val="0"/>
        <charset val="1"/>
      </rPr>
      <t xml:space="preserve">800</t>
    </r>
    <r>
      <rPr>
        <sz val="9"/>
        <rFont val="Noto Sans CJK SC"/>
        <family val="2"/>
      </rPr>
      <t xml:space="preserve">万袋をどの稼働で生産するのかが示されていない。
試算：現状の</t>
    </r>
    <r>
      <rPr>
        <sz val="9"/>
        <rFont val="Meiryo UI"/>
        <family val="0"/>
        <charset val="1"/>
      </rPr>
      <t xml:space="preserve">G</t>
    </r>
    <r>
      <rPr>
        <sz val="9"/>
        <rFont val="Noto Sans CJK SC"/>
        <family val="2"/>
      </rPr>
      <t xml:space="preserve">ライン生産量は（</t>
    </r>
    <r>
      <rPr>
        <sz val="9"/>
        <rFont val="Meiryo UI"/>
        <family val="0"/>
        <charset val="1"/>
      </rPr>
      <t xml:space="preserve">15</t>
    </r>
    <r>
      <rPr>
        <sz val="9"/>
        <rFont val="Noto Sans CJK SC"/>
        <family val="2"/>
      </rPr>
      <t xml:space="preserve">万袋＋</t>
    </r>
    <r>
      <rPr>
        <sz val="9"/>
        <rFont val="Meiryo UI"/>
        <family val="0"/>
        <charset val="1"/>
      </rPr>
      <t xml:space="preserve">10</t>
    </r>
    <r>
      <rPr>
        <sz val="9"/>
        <rFont val="Noto Sans CJK SC"/>
        <family val="2"/>
      </rPr>
      <t xml:space="preserve">万袋）</t>
    </r>
    <r>
      <rPr>
        <sz val="9"/>
        <rFont val="Meiryo UI"/>
        <family val="0"/>
        <charset val="1"/>
      </rPr>
      <t xml:space="preserve">÷2×245</t>
    </r>
    <r>
      <rPr>
        <sz val="9"/>
        <rFont val="Noto Sans CJK SC"/>
        <family val="2"/>
      </rPr>
      <t xml:space="preserve">日≒</t>
    </r>
    <r>
      <rPr>
        <sz val="9"/>
        <rFont val="Meiryo UI"/>
        <family val="0"/>
        <charset val="1"/>
      </rPr>
      <t xml:space="preserve">3,063</t>
    </r>
    <r>
      <rPr>
        <sz val="9"/>
        <rFont val="Noto Sans CJK SC"/>
        <family val="2"/>
      </rPr>
      <t xml:space="preserve">万袋</t>
    </r>
    <r>
      <rPr>
        <sz val="9"/>
        <rFont val="Meiryo UI"/>
        <family val="0"/>
        <charset val="1"/>
      </rPr>
      <t xml:space="preserve">/</t>
    </r>
    <r>
      <rPr>
        <sz val="9"/>
        <rFont val="Noto Sans CJK SC"/>
        <family val="2"/>
      </rPr>
      <t xml:space="preserve">年で、</t>
    </r>
    <r>
      <rPr>
        <sz val="9"/>
        <rFont val="Meiryo UI"/>
        <family val="0"/>
        <charset val="1"/>
      </rPr>
      <t xml:space="preserve">800</t>
    </r>
    <r>
      <rPr>
        <sz val="9"/>
        <rFont val="Noto Sans CJK SC"/>
        <family val="2"/>
      </rPr>
      <t xml:space="preserve">万袋はその約</t>
    </r>
    <r>
      <rPr>
        <sz val="9"/>
        <rFont val="Meiryo UI"/>
        <family val="0"/>
        <charset val="1"/>
      </rPr>
      <t xml:space="preserve">26%</t>
    </r>
    <r>
      <rPr>
        <sz val="9"/>
        <rFont val="Noto Sans CJK SC"/>
        <family val="2"/>
      </rPr>
      <t xml:space="preserve">。追加後の必要日産は約</t>
    </r>
    <r>
      <rPr>
        <sz val="9"/>
        <rFont val="Meiryo UI"/>
        <family val="0"/>
        <charset val="1"/>
      </rPr>
      <t xml:space="preserve">15.77</t>
    </r>
    <r>
      <rPr>
        <sz val="9"/>
        <rFont val="Noto Sans CJK SC"/>
        <family val="2"/>
      </rPr>
      <t xml:space="preserve">万袋となり、製袋機の理論上の最大能力（</t>
    </r>
    <r>
      <rPr>
        <sz val="9"/>
        <rFont val="Meiryo UI"/>
        <family val="0"/>
        <charset val="1"/>
      </rPr>
      <t xml:space="preserve">150</t>
    </r>
    <r>
      <rPr>
        <sz val="9"/>
        <rFont val="Noto Sans CJK SC"/>
        <family val="2"/>
      </rPr>
      <t xml:space="preserve">袋</t>
    </r>
    <r>
      <rPr>
        <sz val="9"/>
        <rFont val="Meiryo UI"/>
        <family val="0"/>
        <charset val="1"/>
      </rPr>
      <t xml:space="preserve">/</t>
    </r>
    <r>
      <rPr>
        <sz val="9"/>
        <rFont val="Noto Sans CJK SC"/>
        <family val="2"/>
      </rPr>
      <t xml:space="preserve">分</t>
    </r>
    <r>
      <rPr>
        <sz val="9"/>
        <rFont val="Meiryo UI"/>
        <family val="0"/>
        <charset val="1"/>
      </rPr>
      <t xml:space="preserve">×1,050</t>
    </r>
    <r>
      <rPr>
        <sz val="9"/>
        <rFont val="Noto Sans CJK SC"/>
        <family val="2"/>
      </rPr>
      <t xml:space="preserve">分＝</t>
    </r>
    <r>
      <rPr>
        <sz val="9"/>
        <rFont val="Meiryo UI"/>
        <family val="0"/>
        <charset val="1"/>
      </rPr>
      <t xml:space="preserve">15.75</t>
    </r>
    <r>
      <rPr>
        <sz val="9"/>
        <rFont val="Noto Sans CJK SC"/>
        <family val="2"/>
      </rPr>
      <t xml:space="preserve">万袋</t>
    </r>
    <r>
      <rPr>
        <sz val="9"/>
        <rFont val="Meiryo UI"/>
        <family val="0"/>
        <charset val="1"/>
      </rPr>
      <t xml:space="preserve">/</t>
    </r>
    <r>
      <rPr>
        <sz val="9"/>
        <rFont val="Noto Sans CJK SC"/>
        <family val="2"/>
      </rPr>
      <t xml:space="preserve">日、段取り・停止ゼロ）を上回る。「遅番を社員</t>
    </r>
    <r>
      <rPr>
        <sz val="9"/>
        <rFont val="Meiryo UI"/>
        <family val="0"/>
        <charset val="1"/>
      </rPr>
      <t xml:space="preserve">1</t>
    </r>
    <r>
      <rPr>
        <sz val="9"/>
        <rFont val="Noto Sans CJK SC"/>
        <family val="2"/>
      </rPr>
      <t xml:space="preserve">名で回せることで生まれる稼働の余地」が何袋分かの定量化もない。
審査（</t>
    </r>
    <r>
      <rPr>
        <sz val="9"/>
        <rFont val="Meiryo UI"/>
        <family val="0"/>
        <charset val="1"/>
      </rPr>
      <t xml:space="preserve">2-c</t>
    </r>
    <r>
      <rPr>
        <sz val="9"/>
        <rFont val="Noto Sans CJK SC"/>
        <family val="2"/>
      </rPr>
      <t xml:space="preserve">・</t>
    </r>
    <r>
      <rPr>
        <sz val="9"/>
        <rFont val="Meiryo UI"/>
        <family val="0"/>
        <charset val="1"/>
      </rPr>
      <t xml:space="preserve">3-d</t>
    </r>
    <r>
      <rPr>
        <sz val="9"/>
        <rFont val="Noto Sans CJK SC"/>
        <family val="2"/>
      </rPr>
      <t xml:space="preserve">・</t>
    </r>
    <r>
      <rPr>
        <sz val="9"/>
        <rFont val="Meiryo UI"/>
        <family val="0"/>
        <charset val="1"/>
      </rPr>
      <t xml:space="preserve">3-g</t>
    </r>
    <r>
      <rPr>
        <sz val="9"/>
        <rFont val="Noto Sans CJK SC"/>
        <family val="2"/>
      </rPr>
      <t xml:space="preserve">）や口頭審査で「能力を上げないのになぜ増産できるのか」と問われるリスクが高い。</t>
    </r>
    <r>
      <rPr>
        <sz val="9"/>
        <rFont val="Meiryo UI"/>
        <family val="0"/>
        <charset val="1"/>
      </rPr>
      <t xml:space="preserve">1</t>
    </r>
    <r>
      <rPr>
        <sz val="9"/>
        <rFont val="Noto Sans CJK SC"/>
        <family val="2"/>
      </rPr>
      <t xml:space="preserve">年目の全社増収</t>
    </r>
    <r>
      <rPr>
        <sz val="9"/>
        <rFont val="Meiryo UI"/>
        <family val="0"/>
        <charset val="1"/>
      </rPr>
      <t xml:space="preserve">460</t>
    </r>
    <r>
      <rPr>
        <sz val="9"/>
        <rFont val="Noto Sans CJK SC"/>
        <family val="2"/>
      </rPr>
      <t xml:space="preserve">百万円は</t>
    </r>
    <r>
      <rPr>
        <sz val="9"/>
        <rFont val="Meiryo UI"/>
        <family val="0"/>
        <charset val="1"/>
      </rPr>
      <t xml:space="preserve">G</t>
    </r>
    <r>
      <rPr>
        <sz val="9"/>
        <rFont val="Noto Sans CJK SC"/>
        <family val="2"/>
      </rPr>
      <t xml:space="preserve">ライン売上（約</t>
    </r>
    <r>
      <rPr>
        <sz val="9"/>
        <rFont val="Meiryo UI"/>
        <family val="0"/>
        <charset val="1"/>
      </rPr>
      <t xml:space="preserve">14</t>
    </r>
    <r>
      <rPr>
        <sz val="9"/>
        <rFont val="Noto Sans CJK SC"/>
        <family val="2"/>
      </rPr>
      <t xml:space="preserve">億円）の約</t>
    </r>
    <r>
      <rPr>
        <sz val="9"/>
        <rFont val="Meiryo UI"/>
        <family val="0"/>
        <charset val="1"/>
      </rPr>
      <t xml:space="preserve">33%</t>
    </r>
    <r>
      <rPr>
        <sz val="9"/>
        <rFont val="Noto Sans CJK SC"/>
        <family val="2"/>
      </rPr>
      <t xml:space="preserve">に当たり、</t>
    </r>
    <r>
      <rPr>
        <sz val="9"/>
        <rFont val="Meiryo UI"/>
        <family val="0"/>
        <charset val="1"/>
      </rPr>
      <t xml:space="preserve">G</t>
    </r>
    <r>
      <rPr>
        <sz val="9"/>
        <rFont val="Noto Sans CJK SC"/>
        <family val="2"/>
      </rPr>
      <t xml:space="preserve">ラインの寄与だけで説明するのは過大に見える。</t>
    </r>
    <r>
      <rPr>
        <sz val="9"/>
        <rFont val="Meiryo UI"/>
        <family val="0"/>
        <charset val="1"/>
      </rPr>
      <t xml:space="preserve">G</t>
    </r>
    <r>
      <rPr>
        <sz val="9"/>
        <rFont val="Noto Sans CJK SC"/>
        <family val="2"/>
      </rPr>
      <t xml:space="preserve">ライン単独の投資回収期間（</t>
    </r>
    <r>
      <rPr>
        <sz val="9"/>
        <rFont val="Meiryo UI"/>
        <family val="0"/>
        <charset val="1"/>
      </rPr>
      <t xml:space="preserve">1.59</t>
    </r>
    <r>
      <rPr>
        <sz val="9"/>
        <rFont val="Noto Sans CJK SC"/>
        <family val="2"/>
      </rPr>
      <t xml:space="preserve">年）も同じ前提に依存している。</t>
    </r>
  </si>
  <si>
    <r>
      <rPr>
        <sz val="9"/>
        <rFont val="Noto Sans CJK SC"/>
        <family val="2"/>
      </rPr>
      <t xml:space="preserve">次のいずれか（または組合せ）で論理と数値を補強し、各所の表現を一貫させる。
</t>
    </r>
    <r>
      <rPr>
        <sz val="9"/>
        <rFont val="Meiryo UI"/>
        <family val="0"/>
        <charset val="1"/>
      </rPr>
      <t xml:space="preserve">(a) </t>
    </r>
    <r>
      <rPr>
        <sz val="9"/>
        <rFont val="Noto Sans CJK SC"/>
        <family val="2"/>
      </rPr>
      <t xml:space="preserve">現状の機会損失を定量化：派遣・カバー不足による遅番の短縮・停止日数、供給待ち・欠員による停止時間（○分</t>
    </r>
    <r>
      <rPr>
        <sz val="9"/>
        <rFont val="Meiryo UI"/>
        <family val="0"/>
        <charset val="1"/>
      </rPr>
      <t xml:space="preserve">/</t>
    </r>
    <r>
      <rPr>
        <sz val="9"/>
        <rFont val="Noto Sans CJK SC"/>
        <family val="2"/>
      </rPr>
      <t xml:space="preserve">日）→導入後に回復する生産量（年○万袋）。
</t>
    </r>
    <r>
      <rPr>
        <sz val="9"/>
        <rFont val="Meiryo UI"/>
        <family val="0"/>
        <charset val="1"/>
      </rPr>
      <t xml:space="preserve">(b) </t>
    </r>
    <r>
      <rPr>
        <sz val="9"/>
        <rFont val="Noto Sans CJK SC"/>
        <family val="2"/>
      </rPr>
      <t xml:space="preserve">稼働日数の増加：投入担当の確保に左右されなくなることで土曜稼働等を月○日追加できる（年○万袋）なら計画に明記。
</t>
    </r>
    <r>
      <rPr>
        <sz val="9"/>
        <rFont val="Meiryo UI"/>
        <family val="0"/>
        <charset val="1"/>
      </rPr>
      <t xml:space="preserve">(c) </t>
    </r>
    <r>
      <rPr>
        <sz val="9"/>
        <rFont val="Noto Sans CJK SC"/>
        <family val="2"/>
      </rPr>
      <t xml:space="preserve">断った案件は既存顧客の増量・新アイテムとして段階的に受注（</t>
    </r>
    <r>
      <rPr>
        <sz val="9"/>
        <rFont val="Meiryo UI"/>
        <family val="0"/>
        <charset val="1"/>
      </rPr>
      <t xml:space="preserve">1</t>
    </r>
    <r>
      <rPr>
        <sz val="9"/>
        <rFont val="Noto Sans CJK SC"/>
        <family val="2"/>
      </rPr>
      <t xml:space="preserve">年目は一部）と表現を改め、</t>
    </r>
    <r>
      <rPr>
        <sz val="9"/>
        <rFont val="Meiryo UI"/>
        <family val="0"/>
        <charset val="1"/>
      </rPr>
      <t xml:space="preserve">1</t>
    </r>
    <r>
      <rPr>
        <sz val="9"/>
        <rFont val="Noto Sans CJK SC"/>
        <family val="2"/>
      </rPr>
      <t xml:space="preserve">年目＋</t>
    </r>
    <r>
      <rPr>
        <sz val="9"/>
        <rFont val="Meiryo UI"/>
        <family val="0"/>
        <charset val="1"/>
      </rPr>
      <t xml:space="preserve">4.0%</t>
    </r>
    <r>
      <rPr>
        <sz val="9"/>
        <rFont val="Noto Sans CJK SC"/>
        <family val="2"/>
      </rPr>
      <t xml:space="preserve">の残りは全社の価格転嫁や他ライン（</t>
    </r>
    <r>
      <rPr>
        <sz val="9"/>
        <rFont val="Meiryo UI"/>
        <family val="0"/>
        <charset val="1"/>
      </rPr>
      <t xml:space="preserve">E</t>
    </r>
    <r>
      <rPr>
        <sz val="9"/>
        <rFont val="Noto Sans CJK SC"/>
        <family val="2"/>
      </rPr>
      <t xml:space="preserve">ライン等）で説明。
修正箇所：</t>
    </r>
    <r>
      <rPr>
        <sz val="9"/>
        <rFont val="Meiryo UI"/>
        <family val="0"/>
        <charset val="1"/>
      </rPr>
      <t xml:space="preserve">2-2①</t>
    </r>
    <r>
      <rPr>
        <sz val="9"/>
        <rFont val="Noto Sans CJK SC"/>
        <family val="2"/>
      </rPr>
      <t xml:space="preserve">受注行、</t>
    </r>
    <r>
      <rPr>
        <sz val="9"/>
        <rFont val="Meiryo UI"/>
        <family val="0"/>
        <charset val="1"/>
      </rPr>
      <t xml:space="preserve">2-2②G</t>
    </r>
    <r>
      <rPr>
        <sz val="9"/>
        <rFont val="Noto Sans CJK SC"/>
        <family val="2"/>
      </rPr>
      <t xml:space="preserve">ライン部門単独、</t>
    </r>
    <r>
      <rPr>
        <sz val="9"/>
        <rFont val="Meiryo UI"/>
        <family val="0"/>
        <charset val="1"/>
      </rPr>
      <t xml:space="preserve">3</t>
    </r>
    <r>
      <rPr>
        <sz val="9"/>
        <rFont val="Noto Sans CJK SC"/>
        <family val="2"/>
      </rPr>
      <t xml:space="preserve">章③、</t>
    </r>
    <r>
      <rPr>
        <sz val="9"/>
        <rFont val="Meiryo UI"/>
        <family val="0"/>
        <charset val="1"/>
      </rPr>
      <t xml:space="preserve">4</t>
    </r>
    <r>
      <rPr>
        <sz val="9"/>
        <rFont val="Noto Sans CJK SC"/>
        <family val="2"/>
      </rPr>
      <t xml:space="preserve">章②・【</t>
    </r>
    <r>
      <rPr>
        <sz val="9"/>
        <rFont val="Meiryo UI"/>
        <family val="0"/>
        <charset val="1"/>
      </rPr>
      <t xml:space="preserve">1</t>
    </r>
    <r>
      <rPr>
        <sz val="9"/>
        <rFont val="Noto Sans CJK SC"/>
        <family val="2"/>
      </rPr>
      <t xml:space="preserve">】、</t>
    </r>
    <r>
      <rPr>
        <sz val="9"/>
        <rFont val="Meiryo UI"/>
        <family val="0"/>
        <charset val="1"/>
      </rPr>
      <t xml:space="preserve">6</t>
    </r>
    <r>
      <rPr>
        <sz val="9"/>
        <rFont val="Noto Sans CJK SC"/>
        <family val="2"/>
      </rPr>
      <t xml:space="preserve">章①②、その３①</t>
    </r>
    <r>
      <rPr>
        <sz val="9"/>
        <rFont val="Meiryo UI"/>
        <family val="0"/>
        <charset val="1"/>
      </rPr>
      <t xml:space="preserve">(1)</t>
    </r>
    <r>
      <rPr>
        <sz val="9"/>
        <rFont val="Noto Sans CJK SC"/>
        <family val="2"/>
      </rPr>
      <t xml:space="preserve">・（別紙３）。数値はクライアント（生産部）に確認。</t>
    </r>
  </si>
  <si>
    <r>
      <rPr>
        <sz val="9"/>
        <rFont val="Meiryo UI"/>
        <family val="0"/>
        <charset val="1"/>
      </rPr>
      <t xml:space="preserve">2-c</t>
    </r>
    <r>
      <rPr>
        <sz val="9"/>
        <rFont val="Noto Sans CJK SC"/>
        <family val="2"/>
      </rPr>
      <t xml:space="preserve">、</t>
    </r>
    <r>
      <rPr>
        <sz val="9"/>
        <rFont val="Meiryo UI"/>
        <family val="0"/>
        <charset val="1"/>
      </rPr>
      <t xml:space="preserve">3-d</t>
    </r>
    <r>
      <rPr>
        <sz val="9"/>
        <rFont val="Noto Sans CJK SC"/>
        <family val="2"/>
      </rPr>
      <t xml:space="preserve">、</t>
    </r>
    <r>
      <rPr>
        <sz val="9"/>
        <rFont val="Meiryo UI"/>
        <family val="0"/>
        <charset val="1"/>
      </rPr>
      <t xml:space="preserve">3-g</t>
    </r>
    <r>
      <rPr>
        <sz val="9"/>
        <rFont val="Noto Sans CJK SC"/>
        <family val="2"/>
      </rPr>
      <t xml:space="preserve">、口頭審査</t>
    </r>
  </si>
  <si>
    <r>
      <rPr>
        <sz val="9"/>
        <rFont val="Noto Sans CJK SC"/>
        <family val="2"/>
      </rPr>
      <t xml:space="preserve">その１その２ </t>
    </r>
    <r>
      <rPr>
        <sz val="9"/>
        <rFont val="Meiryo UI"/>
        <family val="0"/>
        <charset val="1"/>
      </rPr>
      <t xml:space="preserve">2-2①</t>
    </r>
    <r>
      <rPr>
        <sz val="9"/>
        <rFont val="Noto Sans CJK SC"/>
        <family val="2"/>
      </rPr>
      <t xml:space="preserve">・</t>
    </r>
    <r>
      <rPr>
        <sz val="9"/>
        <rFont val="Meiryo UI"/>
        <family val="0"/>
        <charset val="1"/>
      </rPr>
      <t xml:space="preserve">4</t>
    </r>
    <r>
      <rPr>
        <sz val="9"/>
        <rFont val="Noto Sans CJK SC"/>
        <family val="2"/>
      </rPr>
      <t xml:space="preserve">章【</t>
    </r>
    <r>
      <rPr>
        <sz val="9"/>
        <rFont val="Meiryo UI"/>
        <family val="0"/>
        <charset val="1"/>
      </rPr>
      <t xml:space="preserve">1</t>
    </r>
    <r>
      <rPr>
        <sz val="9"/>
        <rFont val="Noto Sans CJK SC"/>
        <family val="2"/>
      </rPr>
      <t xml:space="preserve">】／ヒアリングリスト</t>
    </r>
    <r>
      <rPr>
        <sz val="9"/>
        <rFont val="Meiryo UI"/>
        <family val="0"/>
        <charset val="1"/>
      </rPr>
      <t xml:space="preserve">v5</t>
    </r>
    <r>
      <rPr>
        <sz val="9"/>
        <rFont val="Noto Sans CJK SC"/>
        <family val="2"/>
      </rPr>
      <t xml:space="preserve">（生産量</t>
    </r>
    <r>
      <rPr>
        <sz val="9"/>
        <rFont val="Meiryo UI"/>
        <family val="0"/>
        <charset val="1"/>
      </rPr>
      <t xml:space="preserve">15</t>
    </r>
    <r>
      <rPr>
        <sz val="9"/>
        <rFont val="Noto Sans CJK SC"/>
        <family val="2"/>
      </rPr>
      <t xml:space="preserve">万袋・</t>
    </r>
    <r>
      <rPr>
        <sz val="9"/>
        <rFont val="Meiryo UI"/>
        <family val="0"/>
        <charset val="1"/>
      </rPr>
      <t xml:space="preserve">10</t>
    </r>
    <r>
      <rPr>
        <sz val="9"/>
        <rFont val="Noto Sans CJK SC"/>
        <family val="2"/>
      </rPr>
      <t xml:space="preserve">万袋、稼働</t>
    </r>
    <r>
      <rPr>
        <sz val="9"/>
        <rFont val="Meiryo UI"/>
        <family val="0"/>
        <charset val="1"/>
      </rPr>
      <t xml:space="preserve">8:30</t>
    </r>
    <r>
      <rPr>
        <sz val="9"/>
        <rFont val="Noto Sans CJK SC"/>
        <family val="2"/>
      </rPr>
      <t xml:space="preserve">〜</t>
    </r>
    <r>
      <rPr>
        <sz val="9"/>
        <rFont val="Meiryo UI"/>
        <family val="0"/>
        <charset val="1"/>
      </rPr>
      <t xml:space="preserve">26:00</t>
    </r>
    <r>
      <rPr>
        <sz val="9"/>
        <rFont val="Noto Sans CJK SC"/>
        <family val="2"/>
      </rPr>
      <t xml:space="preserve">）／数値照合シート「能力検証」</t>
    </r>
  </si>
  <si>
    <t xml:space="preserve">①②</t>
  </si>
  <si>
    <t xml:space="preserve">論理・整合（省力化指数の根拠）</t>
  </si>
  <si>
    <t xml:space="preserve">その１その２／その３／図</t>
  </si>
  <si>
    <r>
      <rPr>
        <sz val="9"/>
        <rFont val="Noto Sans CJK SC"/>
        <family val="2"/>
      </rPr>
      <t xml:space="preserve">その１その２：</t>
    </r>
    <r>
      <rPr>
        <sz val="9"/>
        <rFont val="Meiryo UI"/>
        <family val="0"/>
        <charset val="1"/>
      </rPr>
      <t xml:space="preserve">1-3</t>
    </r>
    <r>
      <rPr>
        <sz val="9"/>
        <rFont val="Noto Sans CJK SC"/>
        <family val="2"/>
      </rPr>
      <t xml:space="preserve">「▶</t>
    </r>
    <r>
      <rPr>
        <sz val="9"/>
        <rFont val="Meiryo UI"/>
        <family val="0"/>
        <charset val="1"/>
      </rPr>
      <t xml:space="preserve">1,050</t>
    </r>
    <r>
      <rPr>
        <sz val="9"/>
        <rFont val="Noto Sans CJK SC"/>
        <family val="2"/>
      </rPr>
      <t xml:space="preserve">分のうち②〜⑦の</t>
    </r>
    <r>
      <rPr>
        <sz val="9"/>
        <rFont val="Meiryo UI"/>
        <family val="0"/>
        <charset val="1"/>
      </rPr>
      <t xml:space="preserve">1,030</t>
    </r>
    <r>
      <rPr>
        <sz val="9"/>
        <rFont val="Noto Sans CJK SC"/>
        <family val="2"/>
      </rPr>
      <t xml:space="preserve">分は、本投資で無くなる作業」、</t>
    </r>
    <r>
      <rPr>
        <sz val="9"/>
        <rFont val="Meiryo UI"/>
        <family val="0"/>
        <charset val="1"/>
      </rPr>
      <t xml:space="preserve">2-1①</t>
    </r>
    <r>
      <rPr>
        <sz val="9"/>
        <rFont val="Noto Sans CJK SC"/>
        <family val="2"/>
      </rPr>
      <t xml:space="preserve">「左の現状のうちオレンジの②〜⑦（</t>
    </r>
    <r>
      <rPr>
        <sz val="9"/>
        <rFont val="Meiryo UI"/>
        <family val="0"/>
        <charset val="1"/>
      </rPr>
      <t xml:space="preserve">1,030</t>
    </r>
    <r>
      <rPr>
        <sz val="9"/>
        <rFont val="Noto Sans CJK SC"/>
        <family val="2"/>
      </rPr>
      <t xml:space="preserve">分）が無くなり」「・無くなる作業：開梱・片付け・ほぐし…計</t>
    </r>
    <r>
      <rPr>
        <sz val="9"/>
        <rFont val="Meiryo UI"/>
        <family val="0"/>
        <charset val="1"/>
      </rPr>
      <t xml:space="preserve">1,030</t>
    </r>
    <r>
      <rPr>
        <sz val="9"/>
        <rFont val="Noto Sans CJK SC"/>
        <family val="2"/>
      </rPr>
      <t xml:space="preserve">分」、</t>
    </r>
    <r>
      <rPr>
        <sz val="9"/>
        <rFont val="Meiryo UI"/>
        <family val="0"/>
        <charset val="1"/>
      </rPr>
      <t xml:space="preserve">2-1④</t>
    </r>
    <r>
      <rPr>
        <sz val="9"/>
        <rFont val="Noto Sans CJK SC"/>
        <family val="2"/>
      </rPr>
      <t xml:space="preserve">注記「現状の時間は…実作業を</t>
    </r>
    <r>
      <rPr>
        <sz val="9"/>
        <rFont val="Meiryo UI"/>
        <family val="0"/>
        <charset val="1"/>
      </rPr>
      <t xml:space="preserve">1</t>
    </r>
    <r>
      <rPr>
        <sz val="9"/>
        <rFont val="Noto Sans CJK SC"/>
        <family val="2"/>
      </rPr>
      <t xml:space="preserve">日約</t>
    </r>
    <r>
      <rPr>
        <sz val="9"/>
        <rFont val="Meiryo UI"/>
        <family val="0"/>
        <charset val="1"/>
      </rPr>
      <t xml:space="preserve">131</t>
    </r>
    <r>
      <rPr>
        <sz val="9"/>
        <rFont val="Noto Sans CJK SC"/>
        <family val="2"/>
      </rPr>
      <t xml:space="preserve">回のサイクルで積算」
図「パウチ供給工程のビフォーアフター」④「無くなる（投入の合間に継続）」</t>
    </r>
  </si>
  <si>
    <r>
      <rPr>
        <sz val="9"/>
        <rFont val="Noto Sans CJK SC"/>
        <family val="2"/>
      </rPr>
      <t xml:space="preserve">上記に対し、</t>
    </r>
    <r>
      <rPr>
        <sz val="9"/>
        <rFont val="Meiryo UI"/>
        <family val="0"/>
        <charset val="1"/>
      </rPr>
      <t xml:space="preserve">2</t>
    </r>
    <r>
      <rPr>
        <sz val="9"/>
        <rFont val="Noto Sans CJK SC"/>
        <family val="2"/>
      </rPr>
      <t xml:space="preserve">章②表「導入後②詰め…（現状②③は詰めに集約）」、その３（別紙２）「専用パレット（</t>
    </r>
    <r>
      <rPr>
        <sz val="9"/>
        <rFont val="Meiryo UI"/>
        <family val="0"/>
        <charset val="1"/>
      </rPr>
      <t xml:space="preserve">1,200</t>
    </r>
    <r>
      <rPr>
        <sz val="9"/>
        <rFont val="Noto Sans CJK SC"/>
        <family val="2"/>
      </rPr>
      <t xml:space="preserve">袋）へ開梱・ほぐし・片付け込みで約</t>
    </r>
    <r>
      <rPr>
        <sz val="9"/>
        <rFont val="Meiryo UI"/>
        <family val="0"/>
        <charset val="1"/>
      </rPr>
      <t xml:space="preserve">2</t>
    </r>
    <r>
      <rPr>
        <sz val="9"/>
        <rFont val="Noto Sans CJK SC"/>
        <family val="2"/>
      </rPr>
      <t xml:space="preserve">分／枚」</t>
    </r>
  </si>
  <si>
    <r>
      <rPr>
        <sz val="9"/>
        <rFont val="Noto Sans CJK SC"/>
        <family val="2"/>
      </rPr>
      <t xml:space="preserve">開梱・片付け・ほぐしは導入後も「詰め」作業の中で行う（その３（別紙２）・</t>
    </r>
    <r>
      <rPr>
        <sz val="9"/>
        <rFont val="Meiryo UI"/>
        <family val="0"/>
        <charset val="1"/>
      </rPr>
      <t xml:space="preserve">2</t>
    </r>
    <r>
      <rPr>
        <sz val="9"/>
        <rFont val="Noto Sans CJK SC"/>
        <family val="2"/>
      </rPr>
      <t xml:space="preserve">章②表・ヒアリング「ほぐしを含む」）のに、</t>
    </r>
    <r>
      <rPr>
        <sz val="9"/>
        <rFont val="Meiryo UI"/>
        <family val="0"/>
        <charset val="1"/>
      </rPr>
      <t xml:space="preserve">1-3</t>
    </r>
    <r>
      <rPr>
        <sz val="9"/>
        <rFont val="Noto Sans CJK SC"/>
        <family val="2"/>
      </rPr>
      <t xml:space="preserve">・</t>
    </r>
    <r>
      <rPr>
        <sz val="9"/>
        <rFont val="Meiryo UI"/>
        <family val="0"/>
        <charset val="1"/>
      </rPr>
      <t xml:space="preserve">2-1</t>
    </r>
    <r>
      <rPr>
        <sz val="9"/>
        <rFont val="Noto Sans CJK SC"/>
        <family val="2"/>
      </rPr>
      <t xml:space="preserve">・図では「無くなる作業」と書いており、計画書内・ファイル間で矛盾している。
特にほぐし</t>
    </r>
    <r>
      <rPr>
        <sz val="9"/>
        <rFont val="Meiryo UI"/>
        <family val="0"/>
        <charset val="1"/>
      </rPr>
      <t xml:space="preserve">563</t>
    </r>
    <r>
      <rPr>
        <sz val="9"/>
        <rFont val="Noto Sans CJK SC"/>
        <family val="2"/>
      </rPr>
      <t xml:space="preserve">分は削減時間</t>
    </r>
    <r>
      <rPr>
        <sz val="9"/>
        <rFont val="Meiryo UI"/>
        <family val="0"/>
        <charset val="1"/>
      </rPr>
      <t xml:space="preserve">1,030</t>
    </r>
    <r>
      <rPr>
        <sz val="9"/>
        <rFont val="Noto Sans CJK SC"/>
        <family val="2"/>
      </rPr>
      <t xml:space="preserve">分の約</t>
    </r>
    <r>
      <rPr>
        <sz val="9"/>
        <rFont val="Meiryo UI"/>
        <family val="0"/>
        <charset val="1"/>
      </rPr>
      <t xml:space="preserve">55%</t>
    </r>
    <r>
      <rPr>
        <sz val="9"/>
        <rFont val="Noto Sans CJK SC"/>
        <family val="2"/>
      </rPr>
      <t xml:space="preserve">を占める省力化指数の中核だが、①</t>
    </r>
    <r>
      <rPr>
        <sz val="9"/>
        <rFont val="Meiryo UI"/>
        <family val="0"/>
        <charset val="1"/>
      </rPr>
      <t xml:space="preserve">563</t>
    </r>
    <r>
      <rPr>
        <sz val="9"/>
        <rFont val="Noto Sans CJK SC"/>
        <family val="2"/>
      </rPr>
      <t xml:space="preserve">分の算定根拠（約</t>
    </r>
    <r>
      <rPr>
        <sz val="9"/>
        <rFont val="Meiryo UI"/>
        <family val="0"/>
        <charset val="1"/>
      </rPr>
      <t xml:space="preserve">8</t>
    </r>
    <r>
      <rPr>
        <sz val="9"/>
        <rFont val="Noto Sans CJK SC"/>
        <family val="2"/>
      </rPr>
      <t xml:space="preserve">分サイクルのうち空になるまでの約</t>
    </r>
    <r>
      <rPr>
        <sz val="9"/>
        <rFont val="Meiryo UI"/>
        <family val="0"/>
        <charset val="1"/>
      </rPr>
      <t xml:space="preserve">5</t>
    </r>
    <r>
      <rPr>
        <sz val="9"/>
        <rFont val="Noto Sans CJK SC"/>
        <family val="2"/>
      </rPr>
      <t xml:space="preserve">分</t>
    </r>
    <r>
      <rPr>
        <sz val="9"/>
        <rFont val="Meiryo UI"/>
        <family val="0"/>
        <charset val="1"/>
      </rPr>
      <t xml:space="preserve">×</t>
    </r>
    <r>
      <rPr>
        <sz val="9"/>
        <rFont val="Noto Sans CJK SC"/>
        <family val="2"/>
      </rPr>
      <t xml:space="preserve">約</t>
    </r>
    <r>
      <rPr>
        <sz val="9"/>
        <rFont val="Meiryo UI"/>
        <family val="0"/>
        <charset val="1"/>
      </rPr>
      <t xml:space="preserve">131</t>
    </r>
    <r>
      <rPr>
        <sz val="9"/>
        <rFont val="Noto Sans CJK SC"/>
        <family val="2"/>
      </rPr>
      <t xml:space="preserve">回≒</t>
    </r>
    <r>
      <rPr>
        <sz val="9"/>
        <rFont val="Meiryo UI"/>
        <family val="0"/>
        <charset val="1"/>
      </rPr>
      <t xml:space="preserve">656</t>
    </r>
    <r>
      <rPr>
        <sz val="9"/>
        <rFont val="Noto Sans CJK SC"/>
        <family val="2"/>
      </rPr>
      <t xml:space="preserve">分から、搬入・開梱・片付け・切替の</t>
    </r>
    <r>
      <rPr>
        <sz val="9"/>
        <rFont val="Meiryo UI"/>
        <family val="0"/>
        <charset val="1"/>
      </rPr>
      <t xml:space="preserve">93</t>
    </r>
    <r>
      <rPr>
        <sz val="9"/>
        <rFont val="Noto Sans CJK SC"/>
        <family val="2"/>
      </rPr>
      <t xml:space="preserve">分を除いた拘束時間）と、②導入後は</t>
    </r>
    <r>
      <rPr>
        <sz val="9"/>
        <rFont val="Meiryo UI"/>
        <family val="0"/>
        <charset val="1"/>
      </rPr>
      <t xml:space="preserve">2</t>
    </r>
    <r>
      <rPr>
        <sz val="9"/>
        <rFont val="Noto Sans CJK SC"/>
        <family val="2"/>
      </rPr>
      <t xml:space="preserve">分</t>
    </r>
    <r>
      <rPr>
        <sz val="9"/>
        <rFont val="Meiryo UI"/>
        <family val="0"/>
        <charset val="1"/>
      </rPr>
      <t xml:space="preserve">/</t>
    </r>
    <r>
      <rPr>
        <sz val="9"/>
        <rFont val="Noto Sans CJK SC"/>
        <family val="2"/>
      </rPr>
      <t xml:space="preserve">枚に含まれるほど短くなる理由が本文にない。
さらに</t>
    </r>
    <r>
      <rPr>
        <sz val="9"/>
        <rFont val="Meiryo UI"/>
        <family val="0"/>
        <charset val="1"/>
      </rPr>
      <t xml:space="preserve">131</t>
    </r>
    <r>
      <rPr>
        <sz val="9"/>
        <rFont val="Noto Sans CJK SC"/>
        <family val="2"/>
      </rPr>
      <t xml:space="preserve">回</t>
    </r>
    <r>
      <rPr>
        <sz val="9"/>
        <rFont val="Meiryo UI"/>
        <family val="0"/>
        <charset val="1"/>
      </rPr>
      <t xml:space="preserve">×1,200</t>
    </r>
    <r>
      <rPr>
        <sz val="9"/>
        <rFont val="Noto Sans CJK SC"/>
        <family val="2"/>
      </rPr>
      <t xml:space="preserve">袋≒</t>
    </r>
    <r>
      <rPr>
        <sz val="9"/>
        <rFont val="Meiryo UI"/>
        <family val="0"/>
        <charset val="1"/>
      </rPr>
      <t xml:space="preserve">15.7</t>
    </r>
    <r>
      <rPr>
        <sz val="9"/>
        <rFont val="Noto Sans CJK SC"/>
        <family val="2"/>
      </rPr>
      <t xml:space="preserve">万袋</t>
    </r>
    <r>
      <rPr>
        <sz val="9"/>
        <rFont val="Meiryo UI"/>
        <family val="0"/>
        <charset val="1"/>
      </rPr>
      <t xml:space="preserve">/</t>
    </r>
    <r>
      <rPr>
        <sz val="9"/>
        <rFont val="Noto Sans CJK SC"/>
        <family val="2"/>
      </rPr>
      <t xml:space="preserve">日は</t>
    </r>
    <r>
      <rPr>
        <sz val="9"/>
        <rFont val="Meiryo UI"/>
        <family val="0"/>
        <charset val="1"/>
      </rPr>
      <t xml:space="preserve">1</t>
    </r>
    <r>
      <rPr>
        <sz val="9"/>
        <rFont val="Noto Sans CJK SC"/>
        <family val="2"/>
      </rPr>
      <t xml:space="preserve">品種の日・フル稼働相当で、</t>
    </r>
    <r>
      <rPr>
        <sz val="9"/>
        <rFont val="Meiryo UI"/>
        <family val="0"/>
        <charset val="1"/>
      </rPr>
      <t xml:space="preserve">2</t>
    </r>
    <r>
      <rPr>
        <sz val="9"/>
        <rFont val="Noto Sans CJK SC"/>
        <family val="2"/>
      </rPr>
      <t xml:space="preserve">品種の日（</t>
    </r>
    <r>
      <rPr>
        <sz val="9"/>
        <rFont val="Meiryo UI"/>
        <family val="0"/>
        <charset val="1"/>
      </rPr>
      <t xml:space="preserve">10</t>
    </r>
    <r>
      <rPr>
        <sz val="9"/>
        <rFont val="Noto Sans CJK SC"/>
        <family val="2"/>
      </rPr>
      <t xml:space="preserve">万袋）には当てはまらないため、「実作業を</t>
    </r>
    <r>
      <rPr>
        <sz val="9"/>
        <rFont val="Meiryo UI"/>
        <family val="0"/>
        <charset val="1"/>
      </rPr>
      <t xml:space="preserve">131</t>
    </r>
    <r>
      <rPr>
        <sz val="9"/>
        <rFont val="Noto Sans CJK SC"/>
        <family val="2"/>
      </rPr>
      <t xml:space="preserve">回で積算した実績ベース」という注記とも整合しない。審査員に「待ち時間を作業時間として計上し、省力化指数を高く見せている」と受け取られるおそれがある（</t>
    </r>
    <r>
      <rPr>
        <sz val="9"/>
        <rFont val="Meiryo UI"/>
        <family val="0"/>
        <charset val="1"/>
      </rPr>
      <t xml:space="preserve">2-a</t>
    </r>
    <r>
      <rPr>
        <sz val="9"/>
        <rFont val="Noto Sans CJK SC"/>
        <family val="2"/>
      </rPr>
      <t xml:space="preserve">「算出根拠の妥当性」）。</t>
    </r>
  </si>
  <si>
    <r>
      <rPr>
        <sz val="9"/>
        <rFont val="Noto Sans CJK SC"/>
        <family val="2"/>
      </rPr>
      <t xml:space="preserve">①表現を統一：「削減される作業（②〜⑦、</t>
    </r>
    <r>
      <rPr>
        <sz val="9"/>
        <rFont val="Meiryo UI"/>
        <family val="0"/>
        <charset val="1"/>
      </rPr>
      <t xml:space="preserve">1,030</t>
    </r>
    <r>
      <rPr>
        <sz val="9"/>
        <rFont val="Noto Sans CJK SC"/>
        <family val="2"/>
      </rPr>
      <t xml:space="preserve">分）のうち、開梱・片付け・ほぐしは導入後の『詰め』（</t>
    </r>
    <r>
      <rPr>
        <sz val="9"/>
        <rFont val="Meiryo UI"/>
        <family val="0"/>
        <charset val="1"/>
      </rPr>
      <t xml:space="preserve">2</t>
    </r>
    <r>
      <rPr>
        <sz val="9"/>
        <rFont val="Noto Sans CJK SC"/>
        <family val="2"/>
      </rPr>
      <t xml:space="preserve">分</t>
    </r>
    <r>
      <rPr>
        <sz val="9"/>
        <rFont val="Meiryo UI"/>
        <family val="0"/>
        <charset val="1"/>
      </rPr>
      <t xml:space="preserve">/</t>
    </r>
    <r>
      <rPr>
        <sz val="9"/>
        <rFont val="Noto Sans CJK SC"/>
        <family val="2"/>
      </rPr>
      <t xml:space="preserve">枚）に集約されて大幅に短縮し、踏み台の昇降・手投入・品種切替は無くなる」（</t>
    </r>
    <r>
      <rPr>
        <sz val="9"/>
        <rFont val="Meiryo UI"/>
        <family val="0"/>
        <charset val="1"/>
      </rPr>
      <t xml:space="preserve">1-3</t>
    </r>
    <r>
      <rPr>
        <sz val="9"/>
        <rFont val="Noto Sans CJK SC"/>
        <family val="2"/>
      </rPr>
      <t xml:space="preserve">、</t>
    </r>
    <r>
      <rPr>
        <sz val="9"/>
        <rFont val="Meiryo UI"/>
        <family val="0"/>
        <charset val="1"/>
      </rPr>
      <t xml:space="preserve">2-1①</t>
    </r>
    <r>
      <rPr>
        <sz val="9"/>
        <rFont val="Noto Sans CJK SC"/>
        <family val="2"/>
      </rPr>
      <t xml:space="preserve">、図の注記）。
②ほぐしの根拠を追記：「投入担当は</t>
    </r>
    <r>
      <rPr>
        <sz val="9"/>
        <rFont val="Meiryo UI"/>
        <family val="0"/>
        <charset val="1"/>
      </rPr>
      <t xml:space="preserve">5</t>
    </r>
    <r>
      <rPr>
        <sz val="9"/>
        <rFont val="Noto Sans CJK SC"/>
        <family val="2"/>
      </rPr>
      <t xml:space="preserve">分おきの投入に備えて持ち場を離れられず、投入間隔（約</t>
    </r>
    <r>
      <rPr>
        <sz val="9"/>
        <rFont val="Meiryo UI"/>
        <family val="0"/>
        <charset val="1"/>
      </rPr>
      <t xml:space="preserve">5</t>
    </r>
    <r>
      <rPr>
        <sz val="9"/>
        <rFont val="Noto Sans CJK SC"/>
        <family val="2"/>
      </rPr>
      <t xml:space="preserve">分</t>
    </r>
    <r>
      <rPr>
        <sz val="9"/>
        <rFont val="Meiryo UI"/>
        <family val="0"/>
        <charset val="1"/>
      </rPr>
      <t xml:space="preserve">×</t>
    </r>
    <r>
      <rPr>
        <sz val="9"/>
        <rFont val="Noto Sans CJK SC"/>
        <family val="2"/>
      </rPr>
      <t xml:space="preserve">約</t>
    </r>
    <r>
      <rPr>
        <sz val="9"/>
        <rFont val="Meiryo UI"/>
        <family val="0"/>
        <charset val="1"/>
      </rPr>
      <t xml:space="preserve">131</t>
    </r>
    <r>
      <rPr>
        <sz val="9"/>
        <rFont val="Noto Sans CJK SC"/>
        <family val="2"/>
      </rPr>
      <t xml:space="preserve">回）のうち搬入・開梱等以外の時間はほぐしを続けている（ヒアリングで確認した実態）」。
③</t>
    </r>
    <r>
      <rPr>
        <sz val="9"/>
        <rFont val="Meiryo UI"/>
        <family val="0"/>
        <charset val="1"/>
      </rPr>
      <t xml:space="preserve">2-1④</t>
    </r>
    <r>
      <rPr>
        <sz val="9"/>
        <rFont val="Noto Sans CJK SC"/>
        <family val="2"/>
      </rPr>
      <t xml:space="preserve">の注記を「現状の時間は、投入担当の拘束時間（</t>
    </r>
    <r>
      <rPr>
        <sz val="9"/>
        <rFont val="Meiryo UI"/>
        <family val="0"/>
        <charset val="1"/>
      </rPr>
      <t xml:space="preserve">1,050</t>
    </r>
    <r>
      <rPr>
        <sz val="9"/>
        <rFont val="Noto Sans CJK SC"/>
        <family val="2"/>
      </rPr>
      <t xml:space="preserve">分）を工程別に分解した値（</t>
    </r>
    <r>
      <rPr>
        <sz val="9"/>
        <rFont val="Meiryo UI"/>
        <family val="0"/>
        <charset val="1"/>
      </rPr>
      <t xml:space="preserve">1</t>
    </r>
    <r>
      <rPr>
        <sz val="9"/>
        <rFont val="Noto Sans CJK SC"/>
        <family val="2"/>
      </rPr>
      <t xml:space="preserve">品種の日・フル稼働ベース）」に修正。
④導入後に短くなる理由：「床の作業スペースで束単位にまとめてほぐしながら詰めるため、</t>
    </r>
    <r>
      <rPr>
        <sz val="9"/>
        <rFont val="Meiryo UI"/>
        <family val="0"/>
        <charset val="1"/>
      </rPr>
      <t xml:space="preserve">5</t>
    </r>
    <r>
      <rPr>
        <sz val="9"/>
        <rFont val="Noto Sans CJK SC"/>
        <family val="2"/>
      </rPr>
      <t xml:space="preserve">分おきの小分け作業と待機がなくなる（フジシール資料・試作で</t>
    </r>
    <r>
      <rPr>
        <sz val="9"/>
        <rFont val="Meiryo UI"/>
        <family val="0"/>
        <charset val="1"/>
      </rPr>
      <t xml:space="preserve">2</t>
    </r>
    <r>
      <rPr>
        <sz val="9"/>
        <rFont val="Noto Sans CJK SC"/>
        <family val="2"/>
      </rPr>
      <t xml:space="preserve">分</t>
    </r>
    <r>
      <rPr>
        <sz val="9"/>
        <rFont val="Meiryo UI"/>
        <family val="0"/>
        <charset val="1"/>
      </rPr>
      <t xml:space="preserve">/</t>
    </r>
    <r>
      <rPr>
        <sz val="9"/>
        <rFont val="Noto Sans CJK SC"/>
        <family val="2"/>
      </rPr>
      <t xml:space="preserve">枚を確認）」。</t>
    </r>
  </si>
  <si>
    <t xml:space="preserve">2-a</t>
  </si>
  <si>
    <r>
      <rPr>
        <sz val="9"/>
        <rFont val="Noto Sans CJK SC"/>
        <family val="2"/>
      </rPr>
      <t xml:space="preserve">その１その２ </t>
    </r>
    <r>
      <rPr>
        <sz val="9"/>
        <rFont val="Meiryo UI"/>
        <family val="0"/>
        <charset val="1"/>
      </rPr>
      <t xml:space="preserve">1-3</t>
    </r>
    <r>
      <rPr>
        <sz val="9"/>
        <rFont val="Noto Sans CJK SC"/>
        <family val="2"/>
      </rPr>
      <t xml:space="preserve">・</t>
    </r>
    <r>
      <rPr>
        <sz val="9"/>
        <rFont val="Meiryo UI"/>
        <family val="0"/>
        <charset val="1"/>
      </rPr>
      <t xml:space="preserve">2-1</t>
    </r>
    <r>
      <rPr>
        <sz val="9"/>
        <rFont val="Noto Sans CJK SC"/>
        <family val="2"/>
      </rPr>
      <t xml:space="preserve">・</t>
    </r>
    <r>
      <rPr>
        <sz val="9"/>
        <rFont val="Meiryo UI"/>
        <family val="0"/>
        <charset val="1"/>
      </rPr>
      <t xml:space="preserve">2</t>
    </r>
    <r>
      <rPr>
        <sz val="9"/>
        <rFont val="Noto Sans CJK SC"/>
        <family val="2"/>
      </rPr>
      <t xml:space="preserve">章②表／その３（別紙２）／ヒアリングリスト</t>
    </r>
    <r>
      <rPr>
        <sz val="9"/>
        <rFont val="Meiryo UI"/>
        <family val="0"/>
        <charset val="1"/>
      </rPr>
      <t xml:space="preserve">v5</t>
    </r>
    <r>
      <rPr>
        <sz val="9"/>
        <rFont val="Noto Sans CJK SC"/>
        <family val="2"/>
      </rPr>
      <t xml:space="preserve">／図元データ（</t>
    </r>
    <r>
      <rPr>
        <sz val="9"/>
        <rFont val="Meiryo UI"/>
        <family val="0"/>
        <charset val="1"/>
      </rPr>
      <t xml:space="preserve">pptx v3 p.7</t>
    </r>
    <r>
      <rPr>
        <sz val="9"/>
        <rFont val="Noto Sans CJK SC"/>
        <family val="2"/>
      </rPr>
      <t xml:space="preserve">）</t>
    </r>
  </si>
  <si>
    <t xml:space="preserve">②</t>
  </si>
  <si>
    <t xml:space="preserve">画像・図（要目視確認）</t>
  </si>
  <si>
    <t xml:space="preserve">その１その２（末尾の別紙スケジュール画像）</t>
  </si>
  <si>
    <r>
      <rPr>
        <sz val="9"/>
        <rFont val="Meiryo UI"/>
        <family val="0"/>
        <charset val="1"/>
      </rPr>
      <t xml:space="preserve">5</t>
    </r>
    <r>
      <rPr>
        <sz val="9"/>
        <rFont val="Noto Sans CJK SC"/>
        <family val="2"/>
      </rPr>
      <t xml:space="preserve">章④末尾「全体スケジュールは別紙（次ページ）に示す」、最終ページの補助事業スケジュール</t>
    </r>
  </si>
  <si>
    <t xml:space="preserve">（画像のため本文テキストでは確認できない）</t>
  </si>
  <si>
    <r>
      <rPr>
        <sz val="9"/>
        <rFont val="Noto Sans CJK SC"/>
        <family val="2"/>
      </rPr>
      <t xml:space="preserve">スケジュールの元ファイル「★</t>
    </r>
    <r>
      <rPr>
        <sz val="9"/>
        <rFont val="Meiryo UI"/>
        <family val="0"/>
        <charset val="1"/>
      </rPr>
      <t xml:space="preserve">20260930</t>
    </r>
    <r>
      <rPr>
        <sz val="9"/>
        <rFont val="Noto Sans CJK SC"/>
        <family val="2"/>
      </rPr>
      <t xml:space="preserve">スケジュール（トンボ飲料様）</t>
    </r>
    <r>
      <rPr>
        <sz val="9"/>
        <rFont val="Meiryo UI"/>
        <family val="0"/>
        <charset val="1"/>
      </rPr>
      <t xml:space="preserve">.xlsx</t>
    </r>
    <r>
      <rPr>
        <sz val="9"/>
        <rFont val="Noto Sans CJK SC"/>
        <family val="2"/>
      </rPr>
      <t xml:space="preserve">」の旧版（</t>
    </r>
    <r>
      <rPr>
        <sz val="9"/>
        <rFont val="Meiryo UI"/>
        <family val="0"/>
        <charset val="1"/>
      </rPr>
      <t xml:space="preserve">GitHub</t>
    </r>
    <r>
      <rPr>
        <sz val="9"/>
        <rFont val="Noto Sans CJK SC"/>
        <family val="2"/>
      </rPr>
      <t xml:space="preserve">リポジトリ内・</t>
    </r>
    <r>
      <rPr>
        <sz val="9"/>
        <rFont val="Meiryo UI"/>
        <family val="0"/>
        <charset val="1"/>
      </rPr>
      <t xml:space="preserve">Dropbox</t>
    </r>
    <r>
      <rPr>
        <sz val="9"/>
        <rFont val="Noto Sans CJK SC"/>
        <family val="2"/>
      </rPr>
      <t xml:space="preserve">の</t>
    </r>
    <r>
      <rPr>
        <sz val="9"/>
        <rFont val="Meiryo UI"/>
        <family val="0"/>
        <charset val="1"/>
      </rPr>
      <t xml:space="preserve">old/</t>
    </r>
    <r>
      <rPr>
        <sz val="9"/>
        <rFont val="Noto Sans CJK SC"/>
        <family val="2"/>
      </rPr>
      <t xml:space="preserve">）には、別案件の内容（㈱</t>
    </r>
    <r>
      <rPr>
        <sz val="9"/>
        <rFont val="Meiryo UI"/>
        <family val="0"/>
        <charset val="1"/>
      </rPr>
      <t xml:space="preserve">HOPEE JAPAN</t>
    </r>
    <r>
      <rPr>
        <sz val="9"/>
        <rFont val="Noto Sans CJK SC"/>
        <family val="2"/>
      </rPr>
      <t xml:space="preserve">、㈱</t>
    </r>
    <r>
      <rPr>
        <sz val="9"/>
        <rFont val="Meiryo UI"/>
        <family val="0"/>
        <charset val="1"/>
      </rPr>
      <t xml:space="preserve">Oyraa</t>
    </r>
    <r>
      <rPr>
        <sz val="9"/>
        <rFont val="Noto Sans CJK SC"/>
        <family val="2"/>
      </rPr>
      <t xml:space="preserve">、</t>
    </r>
    <r>
      <rPr>
        <sz val="9"/>
        <rFont val="Meiryo UI"/>
        <family val="0"/>
        <charset val="1"/>
      </rPr>
      <t xml:space="preserve">CS</t>
    </r>
    <r>
      <rPr>
        <sz val="9"/>
        <rFont val="Noto Sans CJK SC"/>
        <family val="2"/>
      </rPr>
      <t xml:space="preserve">チーム</t>
    </r>
    <r>
      <rPr>
        <sz val="9"/>
        <rFont val="Meiryo UI"/>
        <family val="0"/>
        <charset val="1"/>
      </rPr>
      <t xml:space="preserve">6</t>
    </r>
    <r>
      <rPr>
        <sz val="9"/>
        <rFont val="Noto Sans CJK SC"/>
        <family val="2"/>
      </rPr>
      <t xml:space="preserve">名、</t>
    </r>
    <r>
      <rPr>
        <sz val="9"/>
        <rFont val="Meiryo UI"/>
        <family val="0"/>
        <charset val="1"/>
      </rPr>
      <t xml:space="preserve">AI</t>
    </r>
    <r>
      <rPr>
        <sz val="9"/>
        <rFont val="Noto Sans CJK SC"/>
        <family val="2"/>
      </rPr>
      <t xml:space="preserve">判定（対応漏れ検知）、</t>
    </r>
    <r>
      <rPr>
        <sz val="9"/>
        <rFont val="Meiryo UI"/>
        <family val="0"/>
        <charset val="1"/>
      </rPr>
      <t xml:space="preserve">2027</t>
    </r>
    <r>
      <rPr>
        <sz val="9"/>
        <rFont val="Noto Sans CJK SC"/>
        <family val="2"/>
      </rPr>
      <t xml:space="preserve">年</t>
    </r>
    <r>
      <rPr>
        <sz val="9"/>
        <rFont val="Meiryo UI"/>
        <family val="0"/>
        <charset val="1"/>
      </rPr>
      <t xml:space="preserve">12</t>
    </r>
    <r>
      <rPr>
        <sz val="9"/>
        <rFont val="Noto Sans CJK SC"/>
        <family val="2"/>
      </rPr>
      <t xml:space="preserve">月本稼働、創出年約</t>
    </r>
    <r>
      <rPr>
        <sz val="9"/>
        <rFont val="Meiryo UI"/>
        <family val="0"/>
        <charset val="1"/>
      </rPr>
      <t xml:space="preserve">3,994</t>
    </r>
    <r>
      <rPr>
        <sz val="9"/>
        <rFont val="Noto Sans CJK SC"/>
        <family val="2"/>
      </rPr>
      <t xml:space="preserve">時間 等）が残っている。
</t>
    </r>
    <r>
      <rPr>
        <sz val="9"/>
        <rFont val="Meiryo UI"/>
        <family val="0"/>
        <charset val="1"/>
      </rPr>
      <t xml:space="preserve">Dropbox</t>
    </r>
    <r>
      <rPr>
        <sz val="9"/>
        <rFont val="Noto Sans CJK SC"/>
        <family val="2"/>
      </rPr>
      <t xml:space="preserve">の「</t>
    </r>
    <r>
      <rPr>
        <sz val="9"/>
        <rFont val="Meiryo UI"/>
        <family val="0"/>
        <charset val="1"/>
      </rPr>
      <t xml:space="preserve">20261001</t>
    </r>
    <r>
      <rPr>
        <sz val="9"/>
        <rFont val="Noto Sans CJK SC"/>
        <family val="2"/>
      </rPr>
      <t xml:space="preserve">【更新版】★</t>
    </r>
    <r>
      <rPr>
        <sz val="9"/>
        <rFont val="Meiryo UI"/>
        <family val="0"/>
        <charset val="1"/>
      </rPr>
      <t xml:space="preserve">20260930</t>
    </r>
    <r>
      <rPr>
        <sz val="9"/>
        <rFont val="Noto Sans CJK SC"/>
        <family val="2"/>
      </rPr>
      <t xml:space="preserve">スケジュール」はトンボ飲料様向けに修正済みだが、計画書に貼付された画像がどの版から作成されたかは確認できていない。他社名・他案件の内容が残っていると、計画書の使い回しと見なされ致命的になる。</t>
    </r>
  </si>
  <si>
    <r>
      <rPr>
        <sz val="9"/>
        <rFont val="Noto Sans CJK SC"/>
        <family val="2"/>
      </rPr>
      <t xml:space="preserve">貼付画像を目視で確認し、更新版（</t>
    </r>
    <r>
      <rPr>
        <sz val="9"/>
        <rFont val="Meiryo UI"/>
        <family val="0"/>
        <charset val="1"/>
      </rPr>
      <t xml:space="preserve">2026/10/01 08:34</t>
    </r>
    <r>
      <rPr>
        <sz val="9"/>
        <rFont val="Noto Sans CJK SC"/>
        <family val="2"/>
      </rPr>
      <t xml:space="preserve">版）から作成されていることを確認する。
あわせて画像内の日程（発注</t>
    </r>
    <r>
      <rPr>
        <sz val="9"/>
        <rFont val="Meiryo UI"/>
        <family val="0"/>
        <charset val="1"/>
      </rPr>
      <t xml:space="preserve">2027</t>
    </r>
    <r>
      <rPr>
        <sz val="9"/>
        <rFont val="Noto Sans CJK SC"/>
        <family val="2"/>
      </rPr>
      <t xml:space="preserve">年</t>
    </r>
    <r>
      <rPr>
        <sz val="9"/>
        <rFont val="Meiryo UI"/>
        <family val="0"/>
        <charset val="1"/>
      </rPr>
      <t xml:space="preserve">5</t>
    </r>
    <r>
      <rPr>
        <sz val="9"/>
        <rFont val="Noto Sans CJK SC"/>
        <family val="2"/>
      </rPr>
      <t xml:space="preserve">月、製作</t>
    </r>
    <r>
      <rPr>
        <sz val="9"/>
        <rFont val="Meiryo UI"/>
        <family val="0"/>
        <charset val="1"/>
      </rPr>
      <t xml:space="preserve">7</t>
    </r>
    <r>
      <rPr>
        <sz val="9"/>
        <rFont val="Noto Sans CJK SC"/>
        <family val="2"/>
      </rPr>
      <t xml:space="preserve">〜</t>
    </r>
    <r>
      <rPr>
        <sz val="9"/>
        <rFont val="Meiryo UI"/>
        <family val="0"/>
        <charset val="1"/>
      </rPr>
      <t xml:space="preserve">9</t>
    </r>
    <r>
      <rPr>
        <sz val="9"/>
        <rFont val="Noto Sans CJK SC"/>
        <family val="2"/>
      </rPr>
      <t xml:space="preserve">か月、納入・据付</t>
    </r>
    <r>
      <rPr>
        <sz val="9"/>
        <rFont val="Meiryo UI"/>
        <family val="0"/>
        <charset val="1"/>
      </rPr>
      <t xml:space="preserve">2027</t>
    </r>
    <r>
      <rPr>
        <sz val="9"/>
        <rFont val="Noto Sans CJK SC"/>
        <family val="2"/>
      </rPr>
      <t xml:space="preserve">年</t>
    </r>
    <r>
      <rPr>
        <sz val="9"/>
        <rFont val="Meiryo UI"/>
        <family val="0"/>
        <charset val="1"/>
      </rPr>
      <t xml:space="preserve">12</t>
    </r>
    <r>
      <rPr>
        <sz val="9"/>
        <rFont val="Noto Sans CJK SC"/>
        <family val="2"/>
      </rPr>
      <t xml:space="preserve">月〜</t>
    </r>
    <r>
      <rPr>
        <sz val="9"/>
        <rFont val="Meiryo UI"/>
        <family val="0"/>
        <charset val="1"/>
      </rPr>
      <t xml:space="preserve">2028</t>
    </r>
    <r>
      <rPr>
        <sz val="9"/>
        <rFont val="Noto Sans CJK SC"/>
        <family val="2"/>
      </rPr>
      <t xml:space="preserve">年</t>
    </r>
    <r>
      <rPr>
        <sz val="9"/>
        <rFont val="Meiryo UI"/>
        <family val="0"/>
        <charset val="1"/>
      </rPr>
      <t xml:space="preserve">1</t>
    </r>
    <r>
      <rPr>
        <sz val="9"/>
        <rFont val="Noto Sans CJK SC"/>
        <family val="2"/>
      </rPr>
      <t xml:space="preserve">月、検収</t>
    </r>
    <r>
      <rPr>
        <sz val="9"/>
        <rFont val="Meiryo UI"/>
        <family val="0"/>
        <charset val="1"/>
      </rPr>
      <t xml:space="preserve">2028</t>
    </r>
    <r>
      <rPr>
        <sz val="9"/>
        <rFont val="Noto Sans CJK SC"/>
        <family val="2"/>
      </rPr>
      <t xml:space="preserve">年</t>
    </r>
    <r>
      <rPr>
        <sz val="9"/>
        <rFont val="Meiryo UI"/>
        <family val="0"/>
        <charset val="1"/>
      </rPr>
      <t xml:space="preserve">1</t>
    </r>
    <r>
      <rPr>
        <sz val="9"/>
        <rFont val="Noto Sans CJK SC"/>
        <family val="2"/>
      </rPr>
      <t xml:space="preserve">月、実績報告</t>
    </r>
    <r>
      <rPr>
        <sz val="9"/>
        <rFont val="Meiryo UI"/>
        <family val="0"/>
        <charset val="1"/>
      </rPr>
      <t xml:space="preserve">2028</t>
    </r>
    <r>
      <rPr>
        <sz val="9"/>
        <rFont val="Noto Sans CJK SC"/>
        <family val="2"/>
      </rPr>
      <t xml:space="preserve">年</t>
    </r>
    <r>
      <rPr>
        <sz val="9"/>
        <rFont val="Meiryo UI"/>
        <family val="0"/>
        <charset val="1"/>
      </rPr>
      <t xml:space="preserve">2</t>
    </r>
    <r>
      <rPr>
        <sz val="9"/>
        <rFont val="Noto Sans CJK SC"/>
        <family val="2"/>
      </rPr>
      <t xml:space="preserve">月、決算日</t>
    </r>
    <r>
      <rPr>
        <sz val="9"/>
        <rFont val="Meiryo UI"/>
        <family val="0"/>
        <charset val="1"/>
      </rPr>
      <t xml:space="preserve">3</t>
    </r>
    <r>
      <rPr>
        <sz val="9"/>
        <rFont val="Noto Sans CJK SC"/>
        <family val="2"/>
      </rPr>
      <t xml:space="preserve">月</t>
    </r>
    <r>
      <rPr>
        <sz val="9"/>
        <rFont val="Meiryo UI"/>
        <family val="0"/>
        <charset val="1"/>
      </rPr>
      <t xml:space="preserve">20</t>
    </r>
    <r>
      <rPr>
        <sz val="9"/>
        <rFont val="Noto Sans CJK SC"/>
        <family val="2"/>
      </rPr>
      <t xml:space="preserve">日）と</t>
    </r>
    <r>
      <rPr>
        <sz val="9"/>
        <rFont val="Meiryo UI"/>
        <family val="0"/>
        <charset val="1"/>
      </rPr>
      <t xml:space="preserve">5</t>
    </r>
    <r>
      <rPr>
        <sz val="9"/>
        <rFont val="Noto Sans CJK SC"/>
        <family val="2"/>
      </rPr>
      <t xml:space="preserve">章④表の一致、支払条件（契約時</t>
    </r>
    <r>
      <rPr>
        <sz val="9"/>
        <rFont val="Meiryo UI"/>
        <family val="0"/>
        <charset val="1"/>
      </rPr>
      <t xml:space="preserve">1/3</t>
    </r>
    <r>
      <rPr>
        <sz val="9"/>
        <rFont val="Noto Sans CJK SC"/>
        <family val="2"/>
      </rPr>
      <t xml:space="preserve">・納入時</t>
    </r>
    <r>
      <rPr>
        <sz val="9"/>
        <rFont val="Meiryo UI"/>
        <family val="0"/>
        <charset val="1"/>
      </rPr>
      <t xml:space="preserve">1/3</t>
    </r>
    <r>
      <rPr>
        <sz val="9"/>
        <rFont val="Noto Sans CJK SC"/>
        <family val="2"/>
      </rPr>
      <t xml:space="preserve">・検収後</t>
    </r>
    <r>
      <rPr>
        <sz val="9"/>
        <rFont val="Meiryo UI"/>
        <family val="0"/>
        <charset val="1"/>
      </rPr>
      <t xml:space="preserve">1/3</t>
    </r>
    <r>
      <rPr>
        <sz val="9"/>
        <rFont val="Noto Sans CJK SC"/>
        <family val="2"/>
      </rPr>
      <t xml:space="preserve">）、「</t>
    </r>
    <r>
      <rPr>
        <sz val="9"/>
        <rFont val="Meiryo UI"/>
        <family val="0"/>
        <charset val="1"/>
      </rPr>
      <t xml:space="preserve">E</t>
    </r>
    <r>
      <rPr>
        <sz val="9"/>
        <rFont val="Noto Sans CJK SC"/>
        <family val="2"/>
      </rPr>
      <t xml:space="preserve">ライン横展開の準備」（スケジュールのみに記載）の扱いを確認する。</t>
    </r>
  </si>
  <si>
    <r>
      <rPr>
        <sz val="9"/>
        <rFont val="Meiryo UI"/>
        <family val="0"/>
        <charset val="1"/>
      </rPr>
      <t xml:space="preserve">3-b</t>
    </r>
    <r>
      <rPr>
        <sz val="9"/>
        <rFont val="Noto Sans CJK SC"/>
        <family val="2"/>
      </rPr>
      <t xml:space="preserve">、必須</t>
    </r>
    <r>
      <rPr>
        <sz val="9"/>
        <rFont val="Meiryo UI"/>
        <family val="0"/>
        <charset val="1"/>
      </rPr>
      <t xml:space="preserve">8</t>
    </r>
  </si>
  <si>
    <r>
      <rPr>
        <sz val="9"/>
        <rFont val="Meiryo UI"/>
        <family val="0"/>
        <charset val="1"/>
      </rPr>
      <t xml:space="preserve">GitHub</t>
    </r>
    <r>
      <rPr>
        <sz val="9"/>
        <rFont val="Noto Sans CJK SC"/>
        <family val="2"/>
      </rPr>
      <t xml:space="preserve">リポジトリ ★</t>
    </r>
    <r>
      <rPr>
        <sz val="9"/>
        <rFont val="Meiryo UI"/>
        <family val="0"/>
        <charset val="1"/>
      </rPr>
      <t xml:space="preserve">20260930</t>
    </r>
    <r>
      <rPr>
        <sz val="9"/>
        <rFont val="Noto Sans CJK SC"/>
        <family val="2"/>
      </rPr>
      <t xml:space="preserve">スケジュール（トンボ飲料様）</t>
    </r>
    <r>
      <rPr>
        <sz val="9"/>
        <rFont val="Meiryo UI"/>
        <family val="0"/>
        <charset val="1"/>
      </rPr>
      <t xml:space="preserve">.xlsx</t>
    </r>
    <r>
      <rPr>
        <sz val="9"/>
        <rFont val="Noto Sans CJK SC"/>
        <family val="2"/>
      </rPr>
      <t xml:space="preserve">（旧版）／</t>
    </r>
    <r>
      <rPr>
        <sz val="9"/>
        <rFont val="Meiryo UI"/>
        <family val="0"/>
        <charset val="1"/>
      </rPr>
      <t xml:space="preserve">Dropbox 20261001</t>
    </r>
    <r>
      <rPr>
        <sz val="9"/>
        <rFont val="Noto Sans CJK SC"/>
        <family val="2"/>
      </rPr>
      <t xml:space="preserve">【更新版】スケジュール</t>
    </r>
  </si>
  <si>
    <t xml:space="preserve">論理・整合／審査上不利</t>
  </si>
  <si>
    <r>
      <rPr>
        <sz val="9"/>
        <rFont val="Noto Sans CJK SC"/>
        <family val="2"/>
      </rPr>
      <t xml:space="preserve">その１その２：</t>
    </r>
    <r>
      <rPr>
        <sz val="9"/>
        <rFont val="Meiryo UI"/>
        <family val="0"/>
        <charset val="1"/>
      </rPr>
      <t xml:space="preserve">1-1 S4</t>
    </r>
    <r>
      <rPr>
        <sz val="9"/>
        <rFont val="Noto Sans CJK SC"/>
        <family val="2"/>
      </rPr>
      <t xml:space="preserve">、</t>
    </r>
    <r>
      <rPr>
        <sz val="9"/>
        <rFont val="Meiryo UI"/>
        <family val="0"/>
        <charset val="1"/>
      </rPr>
      <t xml:space="preserve">3-1②</t>
    </r>
    <r>
      <rPr>
        <sz val="9"/>
        <rFont val="Noto Sans CJK SC"/>
        <family val="2"/>
      </rPr>
      <t xml:space="preserve">、</t>
    </r>
    <r>
      <rPr>
        <sz val="9"/>
        <rFont val="Meiryo UI"/>
        <family val="0"/>
        <charset val="1"/>
      </rPr>
      <t xml:space="preserve">4</t>
    </r>
    <r>
      <rPr>
        <sz val="9"/>
        <rFont val="Noto Sans CJK SC"/>
        <family val="2"/>
      </rPr>
      <t xml:space="preserve">章②表（人件費）・【</t>
    </r>
    <r>
      <rPr>
        <sz val="9"/>
        <rFont val="Meiryo UI"/>
        <family val="0"/>
        <charset val="1"/>
      </rPr>
      <t xml:space="preserve">3</t>
    </r>
    <r>
      <rPr>
        <sz val="9"/>
        <rFont val="Noto Sans CJK SC"/>
        <family val="2"/>
      </rPr>
      <t xml:space="preserve">】人件費
その３：【算定根拠】③、（別紙４）</t>
    </r>
  </si>
  <si>
    <r>
      <rPr>
        <sz val="9"/>
        <rFont val="Noto Sans CJK SC"/>
        <family val="2"/>
      </rPr>
      <t xml:space="preserve">「</t>
    </r>
    <r>
      <rPr>
        <sz val="9"/>
        <rFont val="Meiryo UI"/>
        <family val="0"/>
        <charset val="1"/>
      </rPr>
      <t xml:space="preserve">2026</t>
    </r>
    <r>
      <rPr>
        <sz val="9"/>
        <rFont val="Noto Sans CJK SC"/>
        <family val="2"/>
      </rPr>
      <t xml:space="preserve">年</t>
    </r>
    <r>
      <rPr>
        <sz val="9"/>
        <rFont val="Meiryo UI"/>
        <family val="0"/>
        <charset val="1"/>
      </rPr>
      <t xml:space="preserve">4</t>
    </r>
    <r>
      <rPr>
        <sz val="9"/>
        <rFont val="Noto Sans CJK SC"/>
        <family val="2"/>
      </rPr>
      <t xml:space="preserve">月に総額約</t>
    </r>
    <r>
      <rPr>
        <sz val="9"/>
        <rFont val="Meiryo UI"/>
        <family val="0"/>
        <charset val="1"/>
      </rPr>
      <t xml:space="preserve">5%</t>
    </r>
    <r>
      <rPr>
        <sz val="9"/>
        <rFont val="Noto Sans CJK SC"/>
        <family val="2"/>
      </rPr>
      <t xml:space="preserve">の賃上げを実施済みである。計画では保守的に、足下は年</t>
    </r>
    <r>
      <rPr>
        <sz val="9"/>
        <rFont val="Meiryo UI"/>
        <family val="0"/>
        <charset val="1"/>
      </rPr>
      <t xml:space="preserve">3%</t>
    </r>
    <r>
      <rPr>
        <sz val="9"/>
        <rFont val="Noto Sans CJK SC"/>
        <family val="2"/>
      </rPr>
      <t xml:space="preserve">を上回る水準（年平均</t>
    </r>
    <r>
      <rPr>
        <sz val="9"/>
        <rFont val="Meiryo UI"/>
        <family val="0"/>
        <charset val="1"/>
      </rPr>
      <t xml:space="preserve">3.02%…</t>
    </r>
    <r>
      <rPr>
        <sz val="9"/>
        <rFont val="Noto Sans CJK SC"/>
        <family val="2"/>
      </rPr>
      <t xml:space="preserve">）」（</t>
    </r>
    <r>
      <rPr>
        <sz val="9"/>
        <rFont val="Meiryo UI"/>
        <family val="0"/>
        <charset val="1"/>
      </rPr>
      <t xml:space="preserve">3-1②</t>
    </r>
    <r>
      <rPr>
        <sz val="9"/>
        <rFont val="Noto Sans CJK SC"/>
        <family val="2"/>
      </rPr>
      <t xml:space="preserve">）
「進行期の</t>
    </r>
    <r>
      <rPr>
        <sz val="9"/>
        <rFont val="Meiryo UI"/>
        <family val="0"/>
        <charset val="1"/>
      </rPr>
      <t xml:space="preserve">+3%</t>
    </r>
    <r>
      <rPr>
        <sz val="9"/>
        <rFont val="Noto Sans CJK SC"/>
        <family val="2"/>
      </rPr>
      <t xml:space="preserve">は、</t>
    </r>
    <r>
      <rPr>
        <sz val="9"/>
        <rFont val="Meiryo UI"/>
        <family val="0"/>
        <charset val="1"/>
      </rPr>
      <t xml:space="preserve">2026</t>
    </r>
    <r>
      <rPr>
        <sz val="9"/>
        <rFont val="Noto Sans CJK SC"/>
        <family val="2"/>
      </rPr>
      <t xml:space="preserve">年</t>
    </r>
    <r>
      <rPr>
        <sz val="9"/>
        <rFont val="Meiryo UI"/>
        <family val="0"/>
        <charset val="1"/>
      </rPr>
      <t xml:space="preserve">4</t>
    </r>
    <r>
      <rPr>
        <sz val="9"/>
        <rFont val="Noto Sans CJK SC"/>
        <family val="2"/>
      </rPr>
      <t xml:space="preserve">月に実施済みの賃上げ（総額約</t>
    </r>
    <r>
      <rPr>
        <sz val="9"/>
        <rFont val="Meiryo UI"/>
        <family val="0"/>
        <charset val="1"/>
      </rPr>
      <t xml:space="preserve">5%</t>
    </r>
    <r>
      <rPr>
        <sz val="9"/>
        <rFont val="Noto Sans CJK SC"/>
        <family val="2"/>
      </rPr>
      <t xml:space="preserve">）より控えめに見込んだ」（</t>
    </r>
    <r>
      <rPr>
        <sz val="9"/>
        <rFont val="Meiryo UI"/>
        <family val="0"/>
        <charset val="1"/>
      </rPr>
      <t xml:space="preserve">4</t>
    </r>
    <r>
      <rPr>
        <sz val="9"/>
        <rFont val="Noto Sans CJK SC"/>
        <family val="2"/>
      </rPr>
      <t xml:space="preserve">章【</t>
    </r>
    <r>
      <rPr>
        <sz val="9"/>
        <rFont val="Meiryo UI"/>
        <family val="0"/>
        <charset val="1"/>
      </rPr>
      <t xml:space="preserve">3</t>
    </r>
    <r>
      <rPr>
        <sz val="9"/>
        <rFont val="Noto Sans CJK SC"/>
        <family val="2"/>
      </rPr>
      <t xml:space="preserve">】）
人件費：</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r>
      <rPr>
        <sz val="9"/>
        <rFont val="Meiryo UI"/>
        <family val="0"/>
        <charset val="1"/>
      </rPr>
      <t xml:space="preserve">1,021,940,577</t>
    </r>
    <r>
      <rPr>
        <sz val="9"/>
        <rFont val="Noto Sans CJK SC"/>
        <family val="2"/>
      </rPr>
      <t xml:space="preserve">円→</t>
    </r>
    <r>
      <rPr>
        <sz val="9"/>
        <rFont val="Meiryo UI"/>
        <family val="0"/>
        <charset val="1"/>
      </rPr>
      <t xml:space="preserve">2027</t>
    </r>
    <r>
      <rPr>
        <sz val="9"/>
        <rFont val="Noto Sans CJK SC"/>
        <family val="2"/>
      </rPr>
      <t xml:space="preserve">年</t>
    </r>
    <r>
      <rPr>
        <sz val="9"/>
        <rFont val="Meiryo UI"/>
        <family val="0"/>
        <charset val="1"/>
      </rPr>
      <t xml:space="preserve">3</t>
    </r>
    <r>
      <rPr>
        <sz val="9"/>
        <rFont val="Noto Sans CJK SC"/>
        <family val="2"/>
      </rPr>
      <t xml:space="preserve">月期</t>
    </r>
    <r>
      <rPr>
        <sz val="9"/>
        <rFont val="Meiryo UI"/>
        <family val="0"/>
        <charset val="1"/>
      </rPr>
      <t xml:space="preserve">1,028,861,760</t>
    </r>
    <r>
      <rPr>
        <sz val="9"/>
        <rFont val="Noto Sans CJK SC"/>
        <family val="2"/>
      </rPr>
      <t xml:space="preserve">円</t>
    </r>
  </si>
  <si>
    <r>
      <rPr>
        <sz val="9"/>
        <rFont val="Noto Sans CJK SC"/>
        <family val="2"/>
      </rPr>
      <t xml:space="preserve">①ヒアリングでは「</t>
    </r>
    <r>
      <rPr>
        <sz val="9"/>
        <rFont val="Meiryo UI"/>
        <family val="0"/>
        <charset val="1"/>
      </rPr>
      <t xml:space="preserve">2026</t>
    </r>
    <r>
      <rPr>
        <sz val="9"/>
        <rFont val="Noto Sans CJK SC"/>
        <family val="2"/>
      </rPr>
      <t xml:space="preserve">年</t>
    </r>
    <r>
      <rPr>
        <sz val="9"/>
        <rFont val="Meiryo UI"/>
        <family val="0"/>
        <charset val="1"/>
      </rPr>
      <t xml:space="preserve">4</t>
    </r>
    <r>
      <rPr>
        <sz val="9"/>
        <rFont val="Noto Sans CJK SC"/>
        <family val="2"/>
      </rPr>
      <t xml:space="preserve">月に人件費総額ベースで約</t>
    </r>
    <r>
      <rPr>
        <sz val="9"/>
        <rFont val="Meiryo UI"/>
        <family val="0"/>
        <charset val="1"/>
      </rPr>
      <t xml:space="preserve">5%</t>
    </r>
    <r>
      <rPr>
        <sz val="9"/>
        <rFont val="Noto Sans CJK SC"/>
        <family val="2"/>
      </rPr>
      <t xml:space="preserve">の賃上げを実施」だが、計画の進行期（</t>
    </r>
    <r>
      <rPr>
        <sz val="9"/>
        <rFont val="Meiryo UI"/>
        <family val="0"/>
        <charset val="1"/>
      </rPr>
      <t xml:space="preserve">2027</t>
    </r>
    <r>
      <rPr>
        <sz val="9"/>
        <rFont val="Noto Sans CJK SC"/>
        <family val="2"/>
      </rPr>
      <t xml:space="preserve">年</t>
    </r>
    <r>
      <rPr>
        <sz val="9"/>
        <rFont val="Meiryo UI"/>
        <family val="0"/>
        <charset val="1"/>
      </rPr>
      <t xml:space="preserve">3</t>
    </r>
    <r>
      <rPr>
        <sz val="9"/>
        <rFont val="Noto Sans CJK SC"/>
        <family val="2"/>
      </rPr>
      <t xml:space="preserve">月期）は人件費総額</t>
    </r>
    <r>
      <rPr>
        <sz val="9"/>
        <rFont val="Meiryo UI"/>
        <family val="0"/>
        <charset val="1"/>
      </rPr>
      <t xml:space="preserve">+0.68%</t>
    </r>
    <r>
      <rPr>
        <sz val="9"/>
        <rFont val="Noto Sans CJK SC"/>
        <family val="2"/>
      </rPr>
      <t xml:space="preserve">、</t>
    </r>
    <r>
      <rPr>
        <sz val="9"/>
        <rFont val="Meiryo UI"/>
        <family val="0"/>
        <charset val="1"/>
      </rPr>
      <t xml:space="preserve">1</t>
    </r>
    <r>
      <rPr>
        <sz val="9"/>
        <rFont val="Noto Sans CJK SC"/>
        <family val="2"/>
      </rPr>
      <t xml:space="preserve">人当たり給与支給総額</t>
    </r>
    <r>
      <rPr>
        <sz val="9"/>
        <rFont val="Meiryo UI"/>
        <family val="0"/>
        <charset val="1"/>
      </rPr>
      <t xml:space="preserve">+3.02%</t>
    </r>
    <r>
      <rPr>
        <sz val="9"/>
        <rFont val="Noto Sans CJK SC"/>
        <family val="2"/>
      </rPr>
      <t xml:space="preserve">で、既に実施した賃上げより低い。実施済みの賃上げを「保守的に見込む」という説明は不自然で、数表を見た審査員に整合しないと受け取られるおそれがある。
②同じ進行期で給与支給総額は</t>
    </r>
    <r>
      <rPr>
        <sz val="9"/>
        <rFont val="Meiryo UI"/>
        <family val="0"/>
        <charset val="1"/>
      </rPr>
      <t xml:space="preserve">+9.85%</t>
    </r>
    <r>
      <rPr>
        <sz val="9"/>
        <rFont val="Noto Sans CJK SC"/>
        <family val="2"/>
      </rPr>
      <t xml:space="preserve">（全月分支給者</t>
    </r>
    <r>
      <rPr>
        <sz val="9"/>
        <rFont val="Meiryo UI"/>
        <family val="0"/>
        <charset val="1"/>
      </rPr>
      <t xml:space="preserve">166</t>
    </r>
    <r>
      <rPr>
        <sz val="9"/>
        <rFont val="Noto Sans CJK SC"/>
        <family val="2"/>
      </rPr>
      <t xml:space="preserve">名→</t>
    </r>
    <r>
      <rPr>
        <sz val="9"/>
        <rFont val="Meiryo UI"/>
        <family val="0"/>
        <charset val="1"/>
      </rPr>
      <t xml:space="preserve">177</t>
    </r>
    <r>
      <rPr>
        <sz val="9"/>
        <rFont val="Noto Sans CJK SC"/>
        <family val="2"/>
      </rPr>
      <t xml:space="preserve">名）なのに人件費総額は</t>
    </r>
    <r>
      <rPr>
        <sz val="9"/>
        <rFont val="Meiryo UI"/>
        <family val="0"/>
        <charset val="1"/>
      </rPr>
      <t xml:space="preserve">+0.68%</t>
    </r>
    <r>
      <rPr>
        <sz val="9"/>
        <rFont val="Noto Sans CJK SC"/>
        <family val="2"/>
      </rPr>
      <t xml:space="preserve">で、伸び率が大きく乖離して見える（母集団の変化が理由と推測されるが説明がない）。
③第</t>
    </r>
    <r>
      <rPr>
        <sz val="9"/>
        <rFont val="Meiryo UI"/>
        <family val="0"/>
        <charset val="1"/>
      </rPr>
      <t xml:space="preserve">8</t>
    </r>
    <r>
      <rPr>
        <sz val="9"/>
        <rFont val="Noto Sans CJK SC"/>
        <family val="2"/>
      </rPr>
      <t xml:space="preserve">回公募要領は「足下の賃上げ」を評価し、直近決算期→基準年度の年平均成長率が物価上昇率を上回る程度に達しない計画は「審査上大幅に不利」と明記している。</t>
    </r>
    <r>
      <rPr>
        <sz val="9"/>
        <rFont val="Meiryo UI"/>
        <family val="0"/>
        <charset val="1"/>
      </rPr>
      <t xml:space="preserve">3.02%</t>
    </r>
    <r>
      <rPr>
        <sz val="9"/>
        <rFont val="Noto Sans CJK SC"/>
        <family val="2"/>
      </rPr>
      <t xml:space="preserve">は目安の</t>
    </r>
    <r>
      <rPr>
        <sz val="9"/>
        <rFont val="Meiryo UI"/>
        <family val="0"/>
        <charset val="1"/>
      </rPr>
      <t xml:space="preserve">3.0%</t>
    </r>
    <r>
      <rPr>
        <sz val="9"/>
        <rFont val="Noto Sans CJK SC"/>
        <family val="2"/>
      </rPr>
      <t xml:space="preserve">をわずかに上回るだけで、実績（約</t>
    </r>
    <r>
      <rPr>
        <sz val="9"/>
        <rFont val="Meiryo UI"/>
        <family val="0"/>
        <charset val="1"/>
      </rPr>
      <t xml:space="preserve">5%</t>
    </r>
    <r>
      <rPr>
        <sz val="9"/>
        <rFont val="Noto Sans CJK SC"/>
        <family val="2"/>
      </rPr>
      <t xml:space="preserve">）を反映すれば足下の評価を高められる余地がある。</t>
    </r>
  </si>
  <si>
    <r>
      <rPr>
        <sz val="9"/>
        <rFont val="Noto Sans CJK SC"/>
        <family val="2"/>
      </rPr>
      <t xml:space="preserve">クライアントに</t>
    </r>
    <r>
      <rPr>
        <sz val="9"/>
        <rFont val="Meiryo UI"/>
        <family val="0"/>
        <charset val="1"/>
      </rPr>
      <t xml:space="preserve">2026</t>
    </r>
    <r>
      <rPr>
        <sz val="9"/>
        <rFont val="Noto Sans CJK SC"/>
        <family val="2"/>
      </rPr>
      <t xml:space="preserve">年</t>
    </r>
    <r>
      <rPr>
        <sz val="9"/>
        <rFont val="Meiryo UI"/>
        <family val="0"/>
        <charset val="1"/>
      </rPr>
      <t xml:space="preserve">4</t>
    </r>
    <r>
      <rPr>
        <sz val="9"/>
        <rFont val="Noto Sans CJK SC"/>
        <family val="2"/>
      </rPr>
      <t xml:space="preserve">月改定の内容（定昇・ベア・賞与・手当、パート時給、対象者、</t>
    </r>
    <r>
      <rPr>
        <sz val="9"/>
        <rFont val="Meiryo UI"/>
        <family val="0"/>
        <charset val="1"/>
      </rPr>
      <t xml:space="preserve">1</t>
    </r>
    <r>
      <rPr>
        <sz val="9"/>
        <rFont val="Noto Sans CJK SC"/>
        <family val="2"/>
      </rPr>
      <t xml:space="preserve">人当たりの改定率）を確認し、次のどちらかで整合させる。
</t>
    </r>
    <r>
      <rPr>
        <sz val="9"/>
        <rFont val="Meiryo UI"/>
        <family val="0"/>
        <charset val="1"/>
      </rPr>
      <t xml:space="preserve">(a) </t>
    </r>
    <r>
      <rPr>
        <sz val="9"/>
        <rFont val="Noto Sans CJK SC"/>
        <family val="2"/>
      </rPr>
      <t xml:space="preserve">進行期の</t>
    </r>
    <r>
      <rPr>
        <sz val="9"/>
        <rFont val="Meiryo UI"/>
        <family val="0"/>
        <charset val="1"/>
      </rPr>
      <t xml:space="preserve">1</t>
    </r>
    <r>
      <rPr>
        <sz val="9"/>
        <rFont val="Noto Sans CJK SC"/>
        <family val="2"/>
      </rPr>
      <t xml:space="preserve">人当たり給与・人件費に実績を反映する（例：進行期</t>
    </r>
    <r>
      <rPr>
        <sz val="9"/>
        <rFont val="Meiryo UI"/>
        <family val="0"/>
        <charset val="1"/>
      </rPr>
      <t xml:space="preserve">+4</t>
    </r>
    <r>
      <rPr>
        <sz val="9"/>
        <rFont val="Noto Sans CJK SC"/>
        <family val="2"/>
      </rPr>
      <t xml:space="preserve">〜</t>
    </r>
    <r>
      <rPr>
        <sz val="9"/>
        <rFont val="Meiryo UI"/>
        <family val="0"/>
        <charset val="1"/>
      </rPr>
      <t xml:space="preserve">5%→</t>
    </r>
    <r>
      <rPr>
        <sz val="9"/>
        <rFont val="Noto Sans CJK SC"/>
        <family val="2"/>
      </rPr>
      <t xml:space="preserve">足下の年平均約</t>
    </r>
    <r>
      <rPr>
        <sz val="9"/>
        <rFont val="Meiryo UI"/>
        <family val="0"/>
        <charset val="1"/>
      </rPr>
      <t xml:space="preserve">3.5</t>
    </r>
    <r>
      <rPr>
        <sz val="9"/>
        <rFont val="Noto Sans CJK SC"/>
        <family val="2"/>
      </rPr>
      <t xml:space="preserve">〜</t>
    </r>
    <r>
      <rPr>
        <sz val="9"/>
        <rFont val="Meiryo UI"/>
        <family val="0"/>
        <charset val="1"/>
      </rPr>
      <t xml:space="preserve">4%</t>
    </r>
    <r>
      <rPr>
        <sz val="9"/>
        <rFont val="Noto Sans CJK SC"/>
        <family val="2"/>
      </rPr>
      <t xml:space="preserve">）。
</t>
    </r>
    <r>
      <rPr>
        <sz val="9"/>
        <rFont val="Meiryo UI"/>
        <family val="0"/>
        <charset val="1"/>
      </rPr>
      <t xml:space="preserve">(b) 3.02%</t>
    </r>
    <r>
      <rPr>
        <sz val="9"/>
        <rFont val="Noto Sans CJK SC"/>
        <family val="2"/>
      </rPr>
      <t xml:space="preserve">とする理由（例：総額</t>
    </r>
    <r>
      <rPr>
        <sz val="9"/>
        <rFont val="Meiryo UI"/>
        <family val="0"/>
        <charset val="1"/>
      </rPr>
      <t xml:space="preserve">5%</t>
    </r>
    <r>
      <rPr>
        <sz val="9"/>
        <rFont val="Noto Sans CJK SC"/>
        <family val="2"/>
      </rPr>
      <t xml:space="preserve">は賞与・法定福利費を含む人件費総額ベースで、新卒・中途の入替により全月分支給者の平均が下がる等）を</t>
    </r>
    <r>
      <rPr>
        <sz val="9"/>
        <rFont val="Meiryo UI"/>
        <family val="0"/>
        <charset val="1"/>
      </rPr>
      <t xml:space="preserve">3-1②</t>
    </r>
    <r>
      <rPr>
        <sz val="9"/>
        <rFont val="Noto Sans CJK SC"/>
        <family val="2"/>
      </rPr>
      <t xml:space="preserve">に明記する。
あわせて給与支給総額</t>
    </r>
    <r>
      <rPr>
        <sz val="9"/>
        <rFont val="Meiryo UI"/>
        <family val="0"/>
        <charset val="1"/>
      </rPr>
      <t xml:space="preserve">+9.85%</t>
    </r>
    <r>
      <rPr>
        <sz val="9"/>
        <rFont val="Noto Sans CJK SC"/>
        <family val="2"/>
      </rPr>
      <t xml:space="preserve">と人件費</t>
    </r>
    <r>
      <rPr>
        <sz val="9"/>
        <rFont val="Meiryo UI"/>
        <family val="0"/>
        <charset val="1"/>
      </rPr>
      <t xml:space="preserve">+0.68%</t>
    </r>
    <r>
      <rPr>
        <sz val="9"/>
        <rFont val="Noto Sans CJK SC"/>
        <family val="2"/>
      </rPr>
      <t xml:space="preserve">の差の理由（全月分支給者</t>
    </r>
    <r>
      <rPr>
        <sz val="9"/>
        <rFont val="Meiryo UI"/>
        <family val="0"/>
        <charset val="1"/>
      </rPr>
      <t xml:space="preserve">166</t>
    </r>
    <r>
      <rPr>
        <sz val="9"/>
        <rFont val="Noto Sans CJK SC"/>
        <family val="2"/>
      </rPr>
      <t xml:space="preserve">名→</t>
    </r>
    <r>
      <rPr>
        <sz val="9"/>
        <rFont val="Meiryo UI"/>
        <family val="0"/>
        <charset val="1"/>
      </rPr>
      <t xml:space="preserve">177</t>
    </r>
    <r>
      <rPr>
        <sz val="9"/>
        <rFont val="Noto Sans CJK SC"/>
        <family val="2"/>
      </rPr>
      <t xml:space="preserve">名）を注記する。
※本計画のモデル（原価率を売上比で固定）では人件費を増やしても付加価値額・労働生産性は下がらないが、営業利益は販管費の人件費分だけ減るため再計算が必要。ヒアリングメモでは「足下は</t>
    </r>
    <r>
      <rPr>
        <sz val="9"/>
        <rFont val="Meiryo UI"/>
        <family val="0"/>
        <charset val="1"/>
      </rPr>
      <t xml:space="preserve">3%</t>
    </r>
    <r>
      <rPr>
        <sz val="9"/>
        <rFont val="Noto Sans CJK SC"/>
        <family val="2"/>
      </rPr>
      <t xml:space="preserve">で作成」の指示があるため、最終判断はクライアント確認のうえで行う。</t>
    </r>
  </si>
  <si>
    <r>
      <rPr>
        <sz val="9"/>
        <rFont val="Noto Sans CJK SC"/>
        <family val="2"/>
      </rPr>
      <t xml:space="preserve">必須</t>
    </r>
    <r>
      <rPr>
        <sz val="9"/>
        <rFont val="Meiryo UI"/>
        <family val="0"/>
        <charset val="1"/>
      </rPr>
      <t xml:space="preserve">3</t>
    </r>
    <r>
      <rPr>
        <sz val="9"/>
        <rFont val="Noto Sans CJK SC"/>
        <family val="2"/>
      </rPr>
      <t xml:space="preserve">、</t>
    </r>
    <r>
      <rPr>
        <sz val="9"/>
        <rFont val="Meiryo UI"/>
        <family val="0"/>
        <charset val="1"/>
      </rPr>
      <t xml:space="preserve">3-e</t>
    </r>
    <r>
      <rPr>
        <sz val="9"/>
        <rFont val="Noto Sans CJK SC"/>
        <family val="2"/>
      </rPr>
      <t xml:space="preserve">、</t>
    </r>
    <r>
      <rPr>
        <sz val="9"/>
        <rFont val="Meiryo UI"/>
        <family val="0"/>
        <charset val="1"/>
      </rPr>
      <t xml:space="preserve">3-g</t>
    </r>
  </si>
  <si>
    <r>
      <rPr>
        <sz val="9"/>
        <rFont val="Noto Sans CJK SC"/>
        <family val="2"/>
      </rPr>
      <t xml:space="preserve">第</t>
    </r>
    <r>
      <rPr>
        <sz val="9"/>
        <rFont val="Meiryo UI"/>
        <family val="0"/>
        <charset val="1"/>
      </rPr>
      <t xml:space="preserve">8</t>
    </r>
    <r>
      <rPr>
        <sz val="9"/>
        <rFont val="Noto Sans CJK SC"/>
        <family val="2"/>
      </rPr>
      <t xml:space="preserve">回公募要領</t>
    </r>
    <r>
      <rPr>
        <sz val="9"/>
        <rFont val="Meiryo UI"/>
        <family val="0"/>
        <charset val="1"/>
      </rPr>
      <t xml:space="preserve">5-1(3)</t>
    </r>
    <r>
      <rPr>
        <sz val="9"/>
        <rFont val="Noto Sans CJK SC"/>
        <family val="2"/>
      </rPr>
      <t xml:space="preserve">（足下の賃上げ）／ヒアリングリスト</t>
    </r>
    <r>
      <rPr>
        <sz val="9"/>
        <rFont val="Meiryo UI"/>
        <family val="0"/>
        <charset val="1"/>
      </rPr>
      <t xml:space="preserve">v5</t>
    </r>
    <r>
      <rPr>
        <sz val="9"/>
        <rFont val="Noto Sans CJK SC"/>
        <family val="2"/>
      </rPr>
      <t xml:space="preserve">「</t>
    </r>
    <r>
      <rPr>
        <sz val="9"/>
        <rFont val="Meiryo UI"/>
        <family val="0"/>
        <charset val="1"/>
      </rPr>
      <t xml:space="preserve">5.</t>
    </r>
    <r>
      <rPr>
        <sz val="9"/>
        <rFont val="Noto Sans CJK SC"/>
        <family val="2"/>
      </rPr>
      <t xml:space="preserve">賃上げの予定」／</t>
    </r>
    <r>
      <rPr>
        <sz val="9"/>
        <rFont val="Meiryo UI"/>
        <family val="0"/>
        <charset val="1"/>
      </rPr>
      <t xml:space="preserve">20260930</t>
    </r>
    <r>
      <rPr>
        <sz val="9"/>
        <rFont val="Noto Sans CJK SC"/>
        <family val="2"/>
      </rPr>
      <t xml:space="preserve">ヒアリング</t>
    </r>
    <r>
      <rPr>
        <sz val="9"/>
        <rFont val="Meiryo UI"/>
        <family val="0"/>
        <charset val="1"/>
      </rPr>
      <t xml:space="preserve">MTG</t>
    </r>
    <r>
      <rPr>
        <sz val="9"/>
        <rFont val="Noto Sans CJK SC"/>
        <family val="2"/>
      </rPr>
      <t xml:space="preserve">メモ／その３（別紙４）／数値照合シート</t>
    </r>
  </si>
  <si>
    <t xml:space="preserve">B</t>
  </si>
  <si>
    <t xml:space="preserve">①</t>
  </si>
  <si>
    <t xml:space="preserve">数値・出典</t>
  </si>
  <si>
    <r>
      <rPr>
        <sz val="9"/>
        <rFont val="Meiryo UI"/>
        <family val="0"/>
        <charset val="1"/>
      </rPr>
      <t xml:space="preserve">1-1 SWOT T3</t>
    </r>
    <r>
      <rPr>
        <sz val="9"/>
        <rFont val="Noto Sans CJK SC"/>
        <family val="2"/>
      </rPr>
      <t xml:space="preserve">〔調達・物価〕</t>
    </r>
  </si>
  <si>
    <r>
      <rPr>
        <sz val="9"/>
        <rFont val="Noto Sans CJK SC"/>
        <family val="2"/>
      </rPr>
      <t xml:space="preserve">「</t>
    </r>
    <r>
      <rPr>
        <sz val="9"/>
        <rFont val="Meiryo UI"/>
        <family val="0"/>
        <charset val="1"/>
      </rPr>
      <t xml:space="preserve">2025</t>
    </r>
    <r>
      <rPr>
        <sz val="9"/>
        <rFont val="Noto Sans CJK SC"/>
        <family val="2"/>
      </rPr>
      <t xml:space="preserve">年の食品値上げは</t>
    </r>
    <r>
      <rPr>
        <sz val="9"/>
        <rFont val="Meiryo UI"/>
        <family val="0"/>
        <charset val="1"/>
      </rPr>
      <t xml:space="preserve">20,609</t>
    </r>
    <r>
      <rPr>
        <sz val="9"/>
        <rFont val="Noto Sans CJK SC"/>
        <family val="2"/>
      </rPr>
      <t xml:space="preserve">品目、要因は原材料高</t>
    </r>
    <r>
      <rPr>
        <sz val="9"/>
        <rFont val="Meiryo UI"/>
        <family val="0"/>
        <charset val="1"/>
      </rPr>
      <t xml:space="preserve">90.7%</t>
    </r>
    <r>
      <rPr>
        <sz val="9"/>
        <rFont val="Noto Sans CJK SC"/>
        <family val="2"/>
      </rPr>
      <t xml:space="preserve">・包装資材</t>
    </r>
    <r>
      <rPr>
        <sz val="9"/>
        <rFont val="Meiryo UI"/>
        <family val="0"/>
        <charset val="1"/>
      </rPr>
      <t xml:space="preserve">81.3%</t>
    </r>
    <r>
      <rPr>
        <sz val="9"/>
        <rFont val="Noto Sans CJK SC"/>
        <family val="2"/>
      </rPr>
      <t xml:space="preserve">（帝国データバンク）」</t>
    </r>
  </si>
  <si>
    <r>
      <rPr>
        <sz val="9"/>
        <rFont val="Noto Sans CJK SC"/>
        <family val="2"/>
      </rPr>
      <t xml:space="preserve">調査メモ（</t>
    </r>
    <r>
      <rPr>
        <sz val="9"/>
        <rFont val="Meiryo UI"/>
        <family val="0"/>
        <charset val="1"/>
      </rPr>
      <t xml:space="preserve">market_data.md A-5</t>
    </r>
    <r>
      <rPr>
        <sz val="9"/>
        <rFont val="Noto Sans CJK SC"/>
        <family val="2"/>
      </rPr>
      <t xml:space="preserve">）では、</t>
    </r>
    <r>
      <rPr>
        <sz val="9"/>
        <rFont val="Meiryo UI"/>
        <family val="0"/>
        <charset val="1"/>
      </rPr>
      <t xml:space="preserve">20,609</t>
    </r>
    <r>
      <rPr>
        <sz val="9"/>
        <rFont val="Noto Sans CJK SC"/>
        <family val="2"/>
      </rPr>
      <t xml:space="preserve">品目は「</t>
    </r>
    <r>
      <rPr>
        <sz val="9"/>
        <rFont val="Meiryo UI"/>
        <family val="0"/>
        <charset val="1"/>
      </rPr>
      <t xml:space="preserve">2025</t>
    </r>
    <r>
      <rPr>
        <sz val="9"/>
        <rFont val="Noto Sans CJK SC"/>
        <family val="2"/>
      </rPr>
      <t xml:space="preserve">年通年」（帝国データバンク </t>
    </r>
    <r>
      <rPr>
        <sz val="9"/>
        <rFont val="Meiryo UI"/>
        <family val="0"/>
        <charset val="1"/>
      </rPr>
      <t xml:space="preserve">2025/12/26</t>
    </r>
    <r>
      <rPr>
        <sz val="9"/>
        <rFont val="Noto Sans CJK SC"/>
        <family val="2"/>
      </rPr>
      <t xml:space="preserve">）、原材料高</t>
    </r>
    <r>
      <rPr>
        <sz val="9"/>
        <rFont val="Meiryo UI"/>
        <family val="0"/>
        <charset val="1"/>
      </rPr>
      <t xml:space="preserve">90.7%</t>
    </r>
    <r>
      <rPr>
        <sz val="9"/>
        <rFont val="Noto Sans CJK SC"/>
        <family val="2"/>
      </rPr>
      <t xml:space="preserve">は「</t>
    </r>
    <r>
      <rPr>
        <sz val="9"/>
        <rFont val="Meiryo UI"/>
        <family val="0"/>
        <charset val="1"/>
      </rPr>
      <t xml:space="preserve">2026</t>
    </r>
    <r>
      <rPr>
        <sz val="9"/>
        <rFont val="Noto Sans CJK SC"/>
        <family val="2"/>
      </rPr>
      <t xml:space="preserve">年（</t>
    </r>
    <r>
      <rPr>
        <sz val="9"/>
        <rFont val="Meiryo UI"/>
        <family val="0"/>
        <charset val="1"/>
      </rPr>
      <t xml:space="preserve">9</t>
    </r>
    <r>
      <rPr>
        <sz val="9"/>
        <rFont val="Noto Sans CJK SC"/>
        <family val="2"/>
      </rPr>
      <t xml:space="preserve">月時点）の値上げ要因」（同 </t>
    </r>
    <r>
      <rPr>
        <sz val="9"/>
        <rFont val="Meiryo UI"/>
        <family val="0"/>
        <charset val="1"/>
      </rPr>
      <t xml:space="preserve">2026/8/31</t>
    </r>
    <r>
      <rPr>
        <sz val="9"/>
        <rFont val="Noto Sans CJK SC"/>
        <family val="2"/>
      </rPr>
      <t xml:space="preserve">）、包装・資材</t>
    </r>
    <r>
      <rPr>
        <sz val="9"/>
        <rFont val="Meiryo UI"/>
        <family val="0"/>
        <charset val="1"/>
      </rPr>
      <t xml:space="preserve">81.3%</t>
    </r>
    <r>
      <rPr>
        <sz val="9"/>
        <rFont val="Noto Sans CJK SC"/>
        <family val="2"/>
      </rPr>
      <t xml:space="preserve">は「</t>
    </r>
    <r>
      <rPr>
        <sz val="9"/>
        <rFont val="Meiryo UI"/>
        <family val="0"/>
        <charset val="1"/>
      </rPr>
      <t xml:space="preserve">2026</t>
    </r>
    <r>
      <rPr>
        <sz val="9"/>
        <rFont val="Noto Sans CJK SC"/>
        <family val="2"/>
      </rPr>
      <t xml:space="preserve">年</t>
    </r>
    <r>
      <rPr>
        <sz val="9"/>
        <rFont val="Meiryo UI"/>
        <family val="0"/>
        <charset val="1"/>
      </rPr>
      <t xml:space="preserve">1</t>
    </r>
    <r>
      <rPr>
        <sz val="9"/>
        <rFont val="Noto Sans CJK SC"/>
        <family val="2"/>
      </rPr>
      <t xml:space="preserve">〜</t>
    </r>
    <r>
      <rPr>
        <sz val="9"/>
        <rFont val="Meiryo UI"/>
        <family val="0"/>
        <charset val="1"/>
      </rPr>
      <t xml:space="preserve">4</t>
    </r>
    <r>
      <rPr>
        <sz val="9"/>
        <rFont val="Noto Sans CJK SC"/>
        <family val="2"/>
      </rPr>
      <t xml:space="preserve">月判明分の要因」（同 </t>
    </r>
    <r>
      <rPr>
        <sz val="9"/>
        <rFont val="Meiryo UI"/>
        <family val="0"/>
        <charset val="1"/>
      </rPr>
      <t xml:space="preserve">2025/12/26</t>
    </r>
    <r>
      <rPr>
        <sz val="9"/>
        <rFont val="Noto Sans CJK SC"/>
        <family val="2"/>
      </rPr>
      <t xml:space="preserve">）で、年も調査も異なる数値を「</t>
    </r>
    <r>
      <rPr>
        <sz val="9"/>
        <rFont val="Meiryo UI"/>
        <family val="0"/>
        <charset val="1"/>
      </rPr>
      <t xml:space="preserve">2025</t>
    </r>
    <r>
      <rPr>
        <sz val="9"/>
        <rFont val="Noto Sans CJK SC"/>
        <family val="2"/>
      </rPr>
      <t xml:space="preserve">年の要因」として混在させている。</t>
    </r>
  </si>
  <si>
    <r>
      <rPr>
        <sz val="9"/>
        <rFont val="Noto Sans CJK SC"/>
        <family val="2"/>
      </rPr>
      <t xml:space="preserve">例：「</t>
    </r>
    <r>
      <rPr>
        <sz val="9"/>
        <rFont val="Meiryo UI"/>
        <family val="0"/>
        <charset val="1"/>
      </rPr>
      <t xml:space="preserve">2025</t>
    </r>
    <r>
      <rPr>
        <sz val="9"/>
        <rFont val="Noto Sans CJK SC"/>
        <family val="2"/>
      </rPr>
      <t xml:space="preserve">年の食品値上げは</t>
    </r>
    <r>
      <rPr>
        <sz val="9"/>
        <rFont val="Meiryo UI"/>
        <family val="0"/>
        <charset val="1"/>
      </rPr>
      <t xml:space="preserve">20,609</t>
    </r>
    <r>
      <rPr>
        <sz val="9"/>
        <rFont val="Noto Sans CJK SC"/>
        <family val="2"/>
      </rPr>
      <t xml:space="preserve">品目に達し、</t>
    </r>
    <r>
      <rPr>
        <sz val="9"/>
        <rFont val="Meiryo UI"/>
        <family val="0"/>
        <charset val="1"/>
      </rPr>
      <t xml:space="preserve">2026</t>
    </r>
    <r>
      <rPr>
        <sz val="9"/>
        <rFont val="Noto Sans CJK SC"/>
        <family val="2"/>
      </rPr>
      <t xml:space="preserve">年も</t>
    </r>
    <r>
      <rPr>
        <sz val="9"/>
        <rFont val="Meiryo UI"/>
        <family val="0"/>
        <charset val="1"/>
      </rPr>
      <t xml:space="preserve">1</t>
    </r>
    <r>
      <rPr>
        <sz val="9"/>
        <rFont val="Noto Sans CJK SC"/>
        <family val="2"/>
      </rPr>
      <t xml:space="preserve">〜</t>
    </r>
    <r>
      <rPr>
        <sz val="9"/>
        <rFont val="Meiryo UI"/>
        <family val="0"/>
        <charset val="1"/>
      </rPr>
      <t xml:space="preserve">4</t>
    </r>
    <r>
      <rPr>
        <sz val="9"/>
        <rFont val="Noto Sans CJK SC"/>
        <family val="2"/>
      </rPr>
      <t xml:space="preserve">月判明分の値上げ要因の</t>
    </r>
    <r>
      <rPr>
        <sz val="9"/>
        <rFont val="Meiryo UI"/>
        <family val="0"/>
        <charset val="1"/>
      </rPr>
      <t xml:space="preserve">81.3%</t>
    </r>
    <r>
      <rPr>
        <sz val="9"/>
        <rFont val="Noto Sans CJK SC"/>
        <family val="2"/>
      </rPr>
      <t xml:space="preserve">が包装・資材、</t>
    </r>
    <r>
      <rPr>
        <sz val="9"/>
        <rFont val="Meiryo UI"/>
        <family val="0"/>
        <charset val="1"/>
      </rPr>
      <t xml:space="preserve">66.0%</t>
    </r>
    <r>
      <rPr>
        <sz val="9"/>
        <rFont val="Noto Sans CJK SC"/>
        <family val="2"/>
      </rPr>
      <t xml:space="preserve">が人件費である（帝国データバンク、</t>
    </r>
    <r>
      <rPr>
        <sz val="9"/>
        <rFont val="Meiryo UI"/>
        <family val="0"/>
        <charset val="1"/>
      </rPr>
      <t xml:space="preserve">2025</t>
    </r>
    <r>
      <rPr>
        <sz val="9"/>
        <rFont val="Noto Sans CJK SC"/>
        <family val="2"/>
      </rPr>
      <t xml:space="preserve">年</t>
    </r>
    <r>
      <rPr>
        <sz val="9"/>
        <rFont val="Meiryo UI"/>
        <family val="0"/>
        <charset val="1"/>
      </rPr>
      <t xml:space="preserve">12</t>
    </r>
    <r>
      <rPr>
        <sz val="9"/>
        <rFont val="Noto Sans CJK SC"/>
        <family val="2"/>
      </rPr>
      <t xml:space="preserve">月）」のように、年・調査を揃える。</t>
    </r>
  </si>
  <si>
    <t xml:space="preserve">3-a</t>
  </si>
  <si>
    <r>
      <rPr>
        <sz val="9"/>
        <rFont val="Meiryo UI"/>
        <family val="0"/>
        <charset val="1"/>
      </rPr>
      <t xml:space="preserve">market_data.md A-5</t>
    </r>
    <r>
      <rPr>
        <sz val="9"/>
        <rFont val="Noto Sans CJK SC"/>
        <family val="2"/>
      </rPr>
      <t xml:space="preserve">（帝国データバンク </t>
    </r>
    <r>
      <rPr>
        <sz val="9"/>
        <rFont val="Meiryo UI"/>
        <family val="0"/>
        <charset val="1"/>
      </rPr>
      <t xml:space="preserve">2025/12/26</t>
    </r>
    <r>
      <rPr>
        <sz val="9"/>
        <rFont val="Noto Sans CJK SC"/>
        <family val="2"/>
      </rPr>
      <t xml:space="preserve">・</t>
    </r>
    <r>
      <rPr>
        <sz val="9"/>
        <rFont val="Meiryo UI"/>
        <family val="0"/>
        <charset val="1"/>
      </rPr>
      <t xml:space="preserve">2026/8/31</t>
    </r>
    <r>
      <rPr>
        <sz val="9"/>
        <rFont val="Noto Sans CJK SC"/>
        <family val="2"/>
      </rPr>
      <t xml:space="preserve">）</t>
    </r>
  </si>
  <si>
    <r>
      <rPr>
        <sz val="9"/>
        <rFont val="Meiryo UI"/>
        <family val="0"/>
        <charset val="1"/>
      </rPr>
      <t xml:space="preserve">1-1 SWOT T1</t>
    </r>
    <r>
      <rPr>
        <sz val="9"/>
        <rFont val="Noto Sans CJK SC"/>
        <family val="2"/>
      </rPr>
      <t xml:space="preserve">〔労働市場〕、</t>
    </r>
    <r>
      <rPr>
        <sz val="9"/>
        <rFont val="Meiryo UI"/>
        <family val="0"/>
        <charset val="1"/>
      </rPr>
      <t xml:space="preserve">3</t>
    </r>
    <r>
      <rPr>
        <sz val="9"/>
        <rFont val="Noto Sans CJK SC"/>
        <family val="2"/>
      </rPr>
      <t xml:space="preserve">章⑥地域雇用</t>
    </r>
  </si>
  <si>
    <r>
      <rPr>
        <sz val="9"/>
        <rFont val="Noto Sans CJK SC"/>
        <family val="2"/>
      </rPr>
      <t xml:space="preserve">「県の製造業の労働力は</t>
    </r>
    <r>
      <rPr>
        <sz val="9"/>
        <rFont val="Meiryo UI"/>
        <family val="0"/>
        <charset val="1"/>
      </rPr>
      <t xml:space="preserve">2040</t>
    </r>
    <r>
      <rPr>
        <sz val="9"/>
        <rFont val="Noto Sans CJK SC"/>
        <family val="2"/>
      </rPr>
      <t xml:space="preserve">年に▲</t>
    </r>
    <r>
      <rPr>
        <sz val="9"/>
        <rFont val="Meiryo UI"/>
        <family val="0"/>
        <charset val="1"/>
      </rPr>
      <t xml:space="preserve">23.1%</t>
    </r>
    <r>
      <rPr>
        <sz val="9"/>
        <rFont val="Noto Sans CJK SC"/>
        <family val="2"/>
      </rPr>
      <t xml:space="preserve">と推計される（富山県）」
「製造業の労働力が</t>
    </r>
    <r>
      <rPr>
        <sz val="9"/>
        <rFont val="Meiryo UI"/>
        <family val="0"/>
        <charset val="1"/>
      </rPr>
      <t xml:space="preserve">2040</t>
    </r>
    <r>
      <rPr>
        <sz val="9"/>
        <rFont val="Noto Sans CJK SC"/>
        <family val="2"/>
      </rPr>
      <t xml:space="preserve">年に▲</t>
    </r>
    <r>
      <rPr>
        <sz val="9"/>
        <rFont val="Meiryo UI"/>
        <family val="0"/>
        <charset val="1"/>
      </rPr>
      <t xml:space="preserve">23.1%</t>
    </r>
    <r>
      <rPr>
        <sz val="9"/>
        <rFont val="Noto Sans CJK SC"/>
        <family val="2"/>
      </rPr>
      <t xml:space="preserve">と推計される中（</t>
    </r>
    <r>
      <rPr>
        <sz val="9"/>
        <rFont val="Meiryo UI"/>
        <family val="0"/>
        <charset val="1"/>
      </rPr>
      <t xml:space="preserve">T1</t>
    </r>
    <r>
      <rPr>
        <sz val="9"/>
        <rFont val="Noto Sans CJK SC"/>
        <family val="2"/>
      </rPr>
      <t xml:space="preserve">）」</t>
    </r>
  </si>
  <si>
    <r>
      <rPr>
        <sz val="9"/>
        <rFont val="Noto Sans CJK SC"/>
        <family val="2"/>
      </rPr>
      <t xml:space="preserve">出典（富山県「富山県独自の労働需給シミュレーション」</t>
    </r>
    <r>
      <rPr>
        <sz val="9"/>
        <rFont val="Meiryo UI"/>
        <family val="0"/>
        <charset val="1"/>
      </rPr>
      <t xml:space="preserve">2026</t>
    </r>
    <r>
      <rPr>
        <sz val="9"/>
        <rFont val="Noto Sans CJK SC"/>
        <family val="2"/>
      </rPr>
      <t xml:space="preserve">年</t>
    </r>
    <r>
      <rPr>
        <sz val="9"/>
        <rFont val="Meiryo UI"/>
        <family val="0"/>
        <charset val="1"/>
      </rPr>
      <t xml:space="preserve">2</t>
    </r>
    <r>
      <rPr>
        <sz val="9"/>
        <rFont val="Noto Sans CJK SC"/>
        <family val="2"/>
      </rPr>
      <t xml:space="preserve">月）の▲</t>
    </r>
    <r>
      <rPr>
        <sz val="9"/>
        <rFont val="Meiryo UI"/>
        <family val="0"/>
        <charset val="1"/>
      </rPr>
      <t xml:space="preserve">23.12%</t>
    </r>
    <r>
      <rPr>
        <sz val="9"/>
        <rFont val="Noto Sans CJK SC"/>
        <family val="2"/>
      </rPr>
      <t xml:space="preserve">は、</t>
    </r>
    <r>
      <rPr>
        <sz val="9"/>
        <rFont val="Meiryo UI"/>
        <family val="0"/>
        <charset val="1"/>
      </rPr>
      <t xml:space="preserve">2040</t>
    </r>
    <r>
      <rPr>
        <sz val="9"/>
        <rFont val="Noto Sans CJK SC"/>
        <family val="2"/>
      </rPr>
      <t xml:space="preserve">年の製造業の労働需要</t>
    </r>
    <r>
      <rPr>
        <sz val="9"/>
        <rFont val="Meiryo UI"/>
        <family val="0"/>
        <charset val="1"/>
      </rPr>
      <t xml:space="preserve">135,012</t>
    </r>
    <r>
      <rPr>
        <sz val="9"/>
        <rFont val="Noto Sans CJK SC"/>
        <family val="2"/>
      </rPr>
      <t xml:space="preserve">人に対する供給不足▲</t>
    </r>
    <r>
      <rPr>
        <sz val="9"/>
        <rFont val="Meiryo UI"/>
        <family val="0"/>
        <charset val="1"/>
      </rPr>
      <t xml:space="preserve">31,213</t>
    </r>
    <r>
      <rPr>
        <sz val="9"/>
        <rFont val="Noto Sans CJK SC"/>
        <family val="2"/>
      </rPr>
      <t xml:space="preserve">人の割合であり、「労働力が</t>
    </r>
    <r>
      <rPr>
        <sz val="9"/>
        <rFont val="Meiryo UI"/>
        <family val="0"/>
        <charset val="1"/>
      </rPr>
      <t xml:space="preserve">23.1%</t>
    </r>
    <r>
      <rPr>
        <sz val="9"/>
        <rFont val="Noto Sans CJK SC"/>
        <family val="2"/>
      </rPr>
      <t xml:space="preserve">減る」という意味ではない。</t>
    </r>
  </si>
  <si>
    <r>
      <rPr>
        <sz val="9"/>
        <rFont val="Noto Sans CJK SC"/>
        <family val="2"/>
      </rPr>
      <t xml:space="preserve">「県内製造業では</t>
    </r>
    <r>
      <rPr>
        <sz val="9"/>
        <rFont val="Meiryo UI"/>
        <family val="0"/>
        <charset val="1"/>
      </rPr>
      <t xml:space="preserve">2040</t>
    </r>
    <r>
      <rPr>
        <sz val="9"/>
        <rFont val="Noto Sans CJK SC"/>
        <family val="2"/>
      </rPr>
      <t xml:space="preserve">年に需要の約</t>
    </r>
    <r>
      <rPr>
        <sz val="9"/>
        <rFont val="Meiryo UI"/>
        <family val="0"/>
        <charset val="1"/>
      </rPr>
      <t xml:space="preserve">23%</t>
    </r>
    <r>
      <rPr>
        <sz val="9"/>
        <rFont val="Noto Sans CJK SC"/>
        <family val="2"/>
      </rPr>
      <t xml:space="preserve">（約</t>
    </r>
    <r>
      <rPr>
        <sz val="9"/>
        <rFont val="Meiryo UI"/>
        <family val="0"/>
        <charset val="1"/>
      </rPr>
      <t xml:space="preserve">3.1</t>
    </r>
    <r>
      <rPr>
        <sz val="9"/>
        <rFont val="Noto Sans CJK SC"/>
        <family val="2"/>
      </rPr>
      <t xml:space="preserve">万人）の人手不足が見込まれる（富山県、</t>
    </r>
    <r>
      <rPr>
        <sz val="9"/>
        <rFont val="Meiryo UI"/>
        <family val="0"/>
        <charset val="1"/>
      </rPr>
      <t xml:space="preserve">2026</t>
    </r>
    <r>
      <rPr>
        <sz val="9"/>
        <rFont val="Noto Sans CJK SC"/>
        <family val="2"/>
      </rPr>
      <t xml:space="preserve">年</t>
    </r>
    <r>
      <rPr>
        <sz val="9"/>
        <rFont val="Meiryo UI"/>
        <family val="0"/>
        <charset val="1"/>
      </rPr>
      <t xml:space="preserve">2</t>
    </r>
    <r>
      <rPr>
        <sz val="9"/>
        <rFont val="Noto Sans CJK SC"/>
        <family val="2"/>
      </rPr>
      <t xml:space="preserve">月）」に修正する（</t>
    </r>
    <r>
      <rPr>
        <sz val="9"/>
        <rFont val="Meiryo UI"/>
        <family val="0"/>
        <charset val="1"/>
      </rPr>
      <t xml:space="preserve">2</t>
    </r>
    <r>
      <rPr>
        <sz val="9"/>
        <rFont val="Noto Sans CJK SC"/>
        <family val="2"/>
      </rPr>
      <t xml:space="preserve">か所）。</t>
    </r>
  </si>
  <si>
    <r>
      <rPr>
        <sz val="9"/>
        <rFont val="Meiryo UI"/>
        <family val="0"/>
        <charset val="1"/>
      </rPr>
      <t xml:space="preserve">3-a</t>
    </r>
    <r>
      <rPr>
        <sz val="9"/>
        <rFont val="Noto Sans CJK SC"/>
        <family val="2"/>
      </rPr>
      <t xml:space="preserve">、</t>
    </r>
    <r>
      <rPr>
        <sz val="9"/>
        <rFont val="Meiryo UI"/>
        <family val="0"/>
        <charset val="1"/>
      </rPr>
      <t xml:space="preserve">4-a</t>
    </r>
  </si>
  <si>
    <r>
      <rPr>
        <sz val="9"/>
        <rFont val="Meiryo UI"/>
        <family val="0"/>
        <charset val="1"/>
      </rPr>
      <t xml:space="preserve">labor_data.md</t>
    </r>
    <r>
      <rPr>
        <sz val="9"/>
        <rFont val="Noto Sans CJK SC"/>
        <family val="2"/>
      </rPr>
      <t xml:space="preserve">（富山県 労働需給シミュレーション </t>
    </r>
    <r>
      <rPr>
        <sz val="9"/>
        <rFont val="Meiryo UI"/>
        <family val="0"/>
        <charset val="1"/>
      </rPr>
      <t xml:space="preserve">2026/2/20</t>
    </r>
    <r>
      <rPr>
        <sz val="9"/>
        <rFont val="Noto Sans CJK SC"/>
        <family val="2"/>
      </rPr>
      <t xml:space="preserve">）</t>
    </r>
  </si>
  <si>
    <t xml:space="preserve">論理・整合</t>
  </si>
  <si>
    <r>
      <rPr>
        <sz val="9"/>
        <rFont val="Meiryo UI"/>
        <family val="0"/>
        <charset val="1"/>
      </rPr>
      <t xml:space="preserve">1-1 SWOT W1</t>
    </r>
    <r>
      <rPr>
        <sz val="9"/>
        <rFont val="Noto Sans CJK SC"/>
        <family val="2"/>
      </rPr>
      <t xml:space="preserve">、</t>
    </r>
    <r>
      <rPr>
        <sz val="9"/>
        <rFont val="Meiryo UI"/>
        <family val="0"/>
        <charset val="1"/>
      </rPr>
      <t xml:space="preserve">1-2</t>
    </r>
    <r>
      <rPr>
        <sz val="9"/>
        <rFont val="Noto Sans CJK SC"/>
        <family val="2"/>
      </rPr>
      <t xml:space="preserve">課題①（図の説明文）</t>
    </r>
  </si>
  <si>
    <t xml:space="preserve">「製袋機より後ろは機械化済みで、投入だけが手作業で残る」
「②以降のスパウトの圧着・検査・充填は、すでに機械が行っている」</t>
  </si>
  <si>
    <r>
      <rPr>
        <sz val="9"/>
        <rFont val="Noto Sans CJK SC"/>
        <family val="2"/>
      </rPr>
      <t xml:space="preserve">その３（別紙１）・</t>
    </r>
    <r>
      <rPr>
        <sz val="9"/>
        <rFont val="Meiryo UI"/>
        <family val="0"/>
        <charset val="1"/>
      </rPr>
      <t xml:space="preserve">2-1</t>
    </r>
    <r>
      <rPr>
        <sz val="9"/>
        <rFont val="Noto Sans CJK SC"/>
        <family val="2"/>
      </rPr>
      <t xml:space="preserve">では、充填（</t>
    </r>
    <r>
      <rPr>
        <sz val="9"/>
        <rFont val="Meiryo UI"/>
        <family val="0"/>
        <charset val="1"/>
      </rPr>
      <t xml:space="preserve">1</t>
    </r>
    <r>
      <rPr>
        <sz val="9"/>
        <rFont val="Noto Sans CJK SC"/>
        <family val="2"/>
      </rPr>
      <t xml:space="preserve">名・</t>
    </r>
    <r>
      <rPr>
        <sz val="9"/>
        <rFont val="Meiryo UI"/>
        <family val="0"/>
        <charset val="1"/>
      </rPr>
      <t xml:space="preserve">1,050</t>
    </r>
    <r>
      <rPr>
        <sz val="9"/>
        <rFont val="Noto Sans CJK SC"/>
        <family val="2"/>
      </rPr>
      <t xml:space="preserve">分）、包装・箱詰め（</t>
    </r>
    <r>
      <rPr>
        <sz val="9"/>
        <rFont val="Meiryo UI"/>
        <family val="0"/>
        <charset val="1"/>
      </rPr>
      <t xml:space="preserve">2</t>
    </r>
    <r>
      <rPr>
        <sz val="9"/>
        <rFont val="Noto Sans CJK SC"/>
        <family val="2"/>
      </rPr>
      <t xml:space="preserve">〜</t>
    </r>
    <r>
      <rPr>
        <sz val="9"/>
        <rFont val="Meiryo UI"/>
        <family val="0"/>
        <charset val="1"/>
      </rPr>
      <t xml:space="preserve">3</t>
    </r>
    <r>
      <rPr>
        <sz val="9"/>
        <rFont val="Noto Sans CJK SC"/>
        <family val="2"/>
      </rPr>
      <t xml:space="preserve">名・</t>
    </r>
    <r>
      <rPr>
        <sz val="9"/>
        <rFont val="Meiryo UI"/>
        <family val="0"/>
        <charset val="1"/>
      </rPr>
      <t xml:space="preserve">2,625</t>
    </r>
    <r>
      <rPr>
        <sz val="9"/>
        <rFont val="Noto Sans CJK SC"/>
        <family val="2"/>
      </rPr>
      <t xml:space="preserve">分）を人手作業として計上しており、「製袋機より後ろは機械化済み」「投入だけが手作業」と矛盾して読める。</t>
    </r>
  </si>
  <si>
    <t xml:space="preserve">「製袋室内では、製袋機（スパウトの熱圧着）・リークチェッカ・搬送は機械化済みで、空パウチの投入だけが手作業で残る」のように範囲を限定する。課題①の説明も「②以降の圧着・検査は機械が行っている（充填・包装の工程と人員は本事業で変わらない）」に修正。</t>
  </si>
  <si>
    <t xml:space="preserve">3-g</t>
  </si>
  <si>
    <r>
      <rPr>
        <sz val="9"/>
        <rFont val="Noto Sans CJK SC"/>
        <family val="2"/>
      </rPr>
      <t xml:space="preserve">その３（別紙１）／その１その２ </t>
    </r>
    <r>
      <rPr>
        <sz val="9"/>
        <rFont val="Meiryo UI"/>
        <family val="0"/>
        <charset val="1"/>
      </rPr>
      <t xml:space="preserve">2-1</t>
    </r>
  </si>
  <si>
    <t xml:space="preserve">③</t>
  </si>
  <si>
    <t xml:space="preserve">説得力</t>
  </si>
  <si>
    <r>
      <rPr>
        <sz val="9"/>
        <rFont val="Meiryo UI"/>
        <family val="0"/>
        <charset val="1"/>
      </rPr>
      <t xml:space="preserve">1-1 W3</t>
    </r>
    <r>
      <rPr>
        <sz val="9"/>
        <rFont val="Noto Sans CJK SC"/>
        <family val="2"/>
      </rPr>
      <t xml:space="preserve">、</t>
    </r>
    <r>
      <rPr>
        <sz val="9"/>
        <rFont val="Meiryo UI"/>
        <family val="0"/>
        <charset val="1"/>
      </rPr>
      <t xml:space="preserve">1-2</t>
    </r>
    <r>
      <rPr>
        <sz val="9"/>
        <rFont val="Noto Sans CJK SC"/>
        <family val="2"/>
      </rPr>
      <t xml:space="preserve">課題②、</t>
    </r>
    <r>
      <rPr>
        <sz val="9"/>
        <rFont val="Meiryo UI"/>
        <family val="0"/>
        <charset val="1"/>
      </rPr>
      <t xml:space="preserve">2-2①</t>
    </r>
    <r>
      <rPr>
        <sz val="9"/>
        <rFont val="Noto Sans CJK SC"/>
        <family val="2"/>
      </rPr>
      <t xml:space="preserve">人員行、</t>
    </r>
    <r>
      <rPr>
        <sz val="9"/>
        <rFont val="Meiryo UI"/>
        <family val="0"/>
        <charset val="1"/>
      </rPr>
      <t xml:space="preserve">3</t>
    </r>
    <r>
      <rPr>
        <sz val="9"/>
        <rFont val="Noto Sans CJK SC"/>
        <family val="2"/>
      </rPr>
      <t xml:space="preserve">章①</t>
    </r>
  </si>
  <si>
    <t xml:space="preserve">「遅番の投入担当は派遣で賄う想定だが確保できず、日勤社員のカバー出勤が常態化している」</t>
  </si>
  <si>
    <r>
      <rPr>
        <sz val="9"/>
        <rFont val="Noto Sans CJK SC"/>
        <family val="2"/>
      </rPr>
      <t xml:space="preserve">人手不足の中核である夜勤（遅番）の派遣不足・カバー出勤について、頻度（月○日）、カバーした社員の時間外・連続勤務、派遣の充足率・単価などの定量情報がない（ヒアリングでも回数は定性的な回答）。審査項目</t>
    </r>
    <r>
      <rPr>
        <sz val="9"/>
        <rFont val="Meiryo UI"/>
        <family val="0"/>
        <charset val="1"/>
      </rPr>
      <t xml:space="preserve">3-a</t>
    </r>
    <r>
      <rPr>
        <sz val="9"/>
        <rFont val="Noto Sans CJK SC"/>
        <family val="2"/>
      </rPr>
      <t xml:space="preserve">「現に人手不足であることが説明されているか」では、採択事例も欠員数・残業時間等を数値で示している。
また派遣が来た日の遅番</t>
    </r>
    <r>
      <rPr>
        <sz val="9"/>
        <rFont val="Meiryo UI"/>
        <family val="0"/>
        <charset val="1"/>
      </rPr>
      <t xml:space="preserve">420</t>
    </r>
    <r>
      <rPr>
        <sz val="9"/>
        <rFont val="Noto Sans CJK SC"/>
        <family val="2"/>
      </rPr>
      <t xml:space="preserve">分は社内人員の再配置ではなく派遣費の削減になるため、</t>
    </r>
    <r>
      <rPr>
        <sz val="9"/>
        <rFont val="Meiryo UI"/>
        <family val="0"/>
        <charset val="1"/>
      </rPr>
      <t xml:space="preserve">3</t>
    </r>
    <r>
      <rPr>
        <sz val="9"/>
        <rFont val="Noto Sans CJK SC"/>
        <family val="2"/>
      </rPr>
      <t xml:space="preserve">章の配分（社員を品質管理・</t>
    </r>
    <r>
      <rPr>
        <sz val="9"/>
        <rFont val="Meiryo UI"/>
        <family val="0"/>
        <charset val="1"/>
      </rPr>
      <t xml:space="preserve">ODM</t>
    </r>
    <r>
      <rPr>
        <sz val="9"/>
        <rFont val="Noto Sans CJK SC"/>
        <family val="2"/>
      </rPr>
      <t xml:space="preserve">へ）の原資の実在性にも関わる。</t>
    </r>
  </si>
  <si>
    <r>
      <rPr>
        <sz val="9"/>
        <rFont val="Noto Sans CJK SC"/>
        <family val="2"/>
      </rPr>
      <t xml:space="preserve">直近</t>
    </r>
    <r>
      <rPr>
        <sz val="9"/>
        <rFont val="Meiryo UI"/>
        <family val="0"/>
        <charset val="1"/>
      </rPr>
      <t xml:space="preserve">1</t>
    </r>
    <r>
      <rPr>
        <sz val="9"/>
        <rFont val="Noto Sans CJK SC"/>
        <family val="2"/>
      </rPr>
      <t xml:space="preserve">年の遅番の派遣充足状況を追記する（例：月○日は派遣不在→日勤社員がカバー、年○時間の時間外）。派遣費の削減見込みがあれば</t>
    </r>
    <r>
      <rPr>
        <sz val="9"/>
        <rFont val="Meiryo UI"/>
        <family val="0"/>
        <charset val="1"/>
      </rPr>
      <t xml:space="preserve">2-2①</t>
    </r>
    <r>
      <rPr>
        <sz val="9"/>
        <rFont val="Noto Sans CJK SC"/>
        <family val="2"/>
      </rPr>
      <t xml:space="preserve">の効果にも加える。</t>
    </r>
  </si>
  <si>
    <r>
      <rPr>
        <sz val="9"/>
        <rFont val="Meiryo UI"/>
        <family val="0"/>
        <charset val="1"/>
      </rPr>
      <t xml:space="preserve">3-a</t>
    </r>
    <r>
      <rPr>
        <sz val="9"/>
        <rFont val="Noto Sans CJK SC"/>
        <family val="2"/>
      </rPr>
      <t xml:space="preserve">、</t>
    </r>
    <r>
      <rPr>
        <sz val="9"/>
        <rFont val="Meiryo UI"/>
        <family val="0"/>
        <charset val="1"/>
      </rPr>
      <t xml:space="preserve">3-f</t>
    </r>
  </si>
  <si>
    <r>
      <rPr>
        <sz val="9"/>
        <rFont val="Noto Sans CJK SC"/>
        <family val="2"/>
      </rPr>
      <t xml:space="preserve">ヒアリングリスト</t>
    </r>
    <r>
      <rPr>
        <sz val="9"/>
        <rFont val="Meiryo UI"/>
        <family val="0"/>
        <charset val="1"/>
      </rPr>
      <t xml:space="preserve">v5</t>
    </r>
    <r>
      <rPr>
        <sz val="9"/>
        <rFont val="Noto Sans CJK SC"/>
        <family val="2"/>
      </rPr>
      <t xml:space="preserve">「</t>
    </r>
    <r>
      <rPr>
        <sz val="9"/>
        <rFont val="Meiryo UI"/>
        <family val="0"/>
        <charset val="1"/>
      </rPr>
      <t xml:space="preserve">2.</t>
    </r>
    <r>
      <rPr>
        <sz val="9"/>
        <rFont val="Noto Sans CJK SC"/>
        <family val="2"/>
      </rPr>
      <t xml:space="preserve">夜勤の担当者が確保できないとき」</t>
    </r>
  </si>
  <si>
    <t xml:space="preserve">数値・計算／論理・整合</t>
  </si>
  <si>
    <r>
      <rPr>
        <sz val="9"/>
        <rFont val="Noto Sans CJK SC"/>
        <family val="2"/>
      </rPr>
      <t xml:space="preserve">（４）注記・</t>
    </r>
    <r>
      <rPr>
        <sz val="9"/>
        <rFont val="Meiryo UI"/>
        <family val="0"/>
        <charset val="1"/>
      </rPr>
      <t xml:space="preserve">2</t>
    </r>
    <r>
      <rPr>
        <sz val="9"/>
        <rFont val="Noto Sans CJK SC"/>
        <family val="2"/>
      </rPr>
      <t xml:space="preserve">章主要仕様「</t>
    </r>
    <r>
      <rPr>
        <sz val="9"/>
        <rFont val="Meiryo UI"/>
        <family val="0"/>
        <charset val="1"/>
      </rPr>
      <t xml:space="preserve">24,000</t>
    </r>
    <r>
      <rPr>
        <sz val="9"/>
        <rFont val="Noto Sans CJK SC"/>
        <family val="2"/>
      </rPr>
      <t xml:space="preserve">袋（約</t>
    </r>
    <r>
      <rPr>
        <sz val="9"/>
        <rFont val="Meiryo UI"/>
        <family val="0"/>
        <charset val="1"/>
      </rPr>
      <t xml:space="preserve">2</t>
    </r>
    <r>
      <rPr>
        <sz val="9"/>
        <rFont val="Noto Sans CJK SC"/>
        <family val="2"/>
      </rPr>
      <t xml:space="preserve">時間分）」、</t>
    </r>
    <r>
      <rPr>
        <sz val="9"/>
        <rFont val="Meiryo UI"/>
        <family val="0"/>
        <charset val="1"/>
      </rPr>
      <t xml:space="preserve">1-3</t>
    </r>
    <r>
      <rPr>
        <sz val="9"/>
        <rFont val="Noto Sans CJK SC"/>
        <family val="2"/>
      </rPr>
      <t xml:space="preserve">「約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回・約</t>
    </r>
    <r>
      <rPr>
        <sz val="9"/>
        <rFont val="Meiryo UI"/>
        <family val="0"/>
        <charset val="1"/>
      </rPr>
      <t xml:space="preserve">3</t>
    </r>
    <r>
      <rPr>
        <sz val="9"/>
        <rFont val="Noto Sans CJK SC"/>
        <family val="2"/>
      </rPr>
      <t xml:space="preserve">分のパレット入替」、</t>
    </r>
    <r>
      <rPr>
        <sz val="9"/>
        <rFont val="Meiryo UI"/>
        <family val="0"/>
        <charset val="1"/>
      </rPr>
      <t xml:space="preserve">2-2①</t>
    </r>
    <r>
      <rPr>
        <sz val="9"/>
        <rFont val="Noto Sans CJK SC"/>
        <family val="2"/>
      </rPr>
      <t xml:space="preserve">稼働行、その３（別紙２）「約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回」、図（投入作業のサイクル）「入替は約</t>
    </r>
    <r>
      <rPr>
        <sz val="9"/>
        <rFont val="Meiryo UI"/>
        <family val="0"/>
        <charset val="1"/>
      </rPr>
      <t xml:space="preserve">3</t>
    </r>
    <r>
      <rPr>
        <sz val="9"/>
        <rFont val="Noto Sans CJK SC"/>
        <family val="2"/>
      </rPr>
      <t xml:space="preserve">分</t>
    </r>
    <r>
      <rPr>
        <sz val="9"/>
        <rFont val="Meiryo UI"/>
        <family val="0"/>
        <charset val="1"/>
      </rPr>
      <t xml:space="preserve">×4</t>
    </r>
    <r>
      <rPr>
        <sz val="9"/>
        <rFont val="Noto Sans CJK SC"/>
        <family val="2"/>
      </rPr>
      <t xml:space="preserve">時間で</t>
    </r>
    <r>
      <rPr>
        <sz val="9"/>
        <rFont val="Meiryo UI"/>
        <family val="0"/>
        <charset val="1"/>
      </rPr>
      <t xml:space="preserve">2</t>
    </r>
    <r>
      <rPr>
        <sz val="9"/>
        <rFont val="Noto Sans CJK SC"/>
        <family val="2"/>
      </rPr>
      <t xml:space="preserve">回」</t>
    </r>
  </si>
  <si>
    <r>
      <rPr>
        <sz val="9"/>
        <rFont val="Noto Sans CJK SC"/>
        <family val="2"/>
      </rPr>
      <t xml:space="preserve">「ストック量 </t>
    </r>
    <r>
      <rPr>
        <sz val="9"/>
        <rFont val="Meiryo UI"/>
        <family val="0"/>
        <charset val="1"/>
      </rPr>
      <t xml:space="preserve">5</t>
    </r>
    <r>
      <rPr>
        <sz val="9"/>
        <rFont val="Noto Sans CJK SC"/>
        <family val="2"/>
      </rPr>
      <t xml:space="preserve">段</t>
    </r>
    <r>
      <rPr>
        <sz val="9"/>
        <rFont val="Meiryo UI"/>
        <family val="0"/>
        <charset val="1"/>
      </rPr>
      <t xml:space="preserve">×4</t>
    </r>
    <r>
      <rPr>
        <sz val="9"/>
        <rFont val="Noto Sans CJK SC"/>
        <family val="2"/>
      </rPr>
      <t xml:space="preserve">列＝</t>
    </r>
    <r>
      <rPr>
        <sz val="9"/>
        <rFont val="Meiryo UI"/>
        <family val="0"/>
        <charset val="1"/>
      </rPr>
      <t xml:space="preserve">20</t>
    </r>
    <r>
      <rPr>
        <sz val="9"/>
        <rFont val="Noto Sans CJK SC"/>
        <family val="2"/>
      </rPr>
      <t xml:space="preserve">パレット＝</t>
    </r>
    <r>
      <rPr>
        <sz val="9"/>
        <rFont val="Meiryo UI"/>
        <family val="0"/>
        <charset val="1"/>
      </rPr>
      <t xml:space="preserve">24,000</t>
    </r>
    <r>
      <rPr>
        <sz val="9"/>
        <rFont val="Noto Sans CJK SC"/>
        <family val="2"/>
      </rPr>
      <t xml:space="preserve">袋（約</t>
    </r>
    <r>
      <rPr>
        <sz val="9"/>
        <rFont val="Meiryo UI"/>
        <family val="0"/>
        <charset val="1"/>
      </rPr>
      <t xml:space="preserve">2</t>
    </r>
    <r>
      <rPr>
        <sz val="9"/>
        <rFont val="Noto Sans CJK SC"/>
        <family val="2"/>
      </rPr>
      <t xml:space="preserve">時間分）」「約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
入替の計算は「</t>
    </r>
    <r>
      <rPr>
        <sz val="9"/>
        <rFont val="Meiryo UI"/>
        <family val="0"/>
        <charset val="1"/>
      </rPr>
      <t xml:space="preserve">1</t>
    </r>
    <r>
      <rPr>
        <sz val="9"/>
        <rFont val="Noto Sans CJK SC"/>
        <family val="2"/>
      </rPr>
      <t xml:space="preserve">品種の日</t>
    </r>
    <r>
      <rPr>
        <sz val="9"/>
        <rFont val="Meiryo UI"/>
        <family val="0"/>
        <charset val="1"/>
      </rPr>
      <t xml:space="preserve">6</t>
    </r>
    <r>
      <rPr>
        <sz val="9"/>
        <rFont val="Noto Sans CJK SC"/>
        <family val="2"/>
      </rPr>
      <t xml:space="preserve">回＝</t>
    </r>
    <r>
      <rPr>
        <sz val="9"/>
        <rFont val="Meiryo UI"/>
        <family val="0"/>
        <charset val="1"/>
      </rPr>
      <t xml:space="preserve">18</t>
    </r>
    <r>
      <rPr>
        <sz val="9"/>
        <rFont val="Noto Sans CJK SC"/>
        <family val="2"/>
      </rPr>
      <t xml:space="preserve">分、</t>
    </r>
    <r>
      <rPr>
        <sz val="9"/>
        <rFont val="Meiryo UI"/>
        <family val="0"/>
        <charset val="1"/>
      </rPr>
      <t xml:space="preserve">2</t>
    </r>
    <r>
      <rPr>
        <sz val="9"/>
        <rFont val="Noto Sans CJK SC"/>
        <family val="2"/>
      </rPr>
      <t xml:space="preserve">品種の日</t>
    </r>
    <r>
      <rPr>
        <sz val="9"/>
        <rFont val="Meiryo UI"/>
        <family val="0"/>
        <charset val="1"/>
      </rPr>
      <t xml:space="preserve">4</t>
    </r>
    <r>
      <rPr>
        <sz val="9"/>
        <rFont val="Noto Sans CJK SC"/>
        <family val="2"/>
      </rPr>
      <t xml:space="preserve">回＝</t>
    </r>
    <r>
      <rPr>
        <sz val="9"/>
        <rFont val="Meiryo UI"/>
        <family val="0"/>
        <charset val="1"/>
      </rPr>
      <t xml:space="preserve">12</t>
    </r>
    <r>
      <rPr>
        <sz val="9"/>
        <rFont val="Noto Sans CJK SC"/>
        <family val="2"/>
      </rPr>
      <t xml:space="preserve">分」</t>
    </r>
  </si>
  <si>
    <r>
      <rPr>
        <sz val="9"/>
        <rFont val="Meiryo UI"/>
        <family val="0"/>
        <charset val="1"/>
      </rPr>
      <t xml:space="preserve">24,000</t>
    </r>
    <r>
      <rPr>
        <sz val="9"/>
        <rFont val="Noto Sans CJK SC"/>
        <family val="2"/>
      </rPr>
      <t xml:space="preserve">袋</t>
    </r>
    <r>
      <rPr>
        <sz val="9"/>
        <rFont val="Meiryo UI"/>
        <family val="0"/>
        <charset val="1"/>
      </rPr>
      <t xml:space="preserve">÷150</t>
    </r>
    <r>
      <rPr>
        <sz val="9"/>
        <rFont val="Noto Sans CJK SC"/>
        <family val="2"/>
      </rPr>
      <t xml:space="preserve">袋</t>
    </r>
    <r>
      <rPr>
        <sz val="9"/>
        <rFont val="Meiryo UI"/>
        <family val="0"/>
        <charset val="1"/>
      </rPr>
      <t xml:space="preserve">/</t>
    </r>
    <r>
      <rPr>
        <sz val="9"/>
        <rFont val="Noto Sans CJK SC"/>
        <family val="2"/>
      </rPr>
      <t xml:space="preserve">分＝</t>
    </r>
    <r>
      <rPr>
        <sz val="9"/>
        <rFont val="Meiryo UI"/>
        <family val="0"/>
        <charset val="1"/>
      </rPr>
      <t xml:space="preserve">160</t>
    </r>
    <r>
      <rPr>
        <sz val="9"/>
        <rFont val="Noto Sans CJK SC"/>
        <family val="2"/>
      </rPr>
      <t xml:space="preserve">分（約</t>
    </r>
    <r>
      <rPr>
        <sz val="9"/>
        <rFont val="Meiryo UI"/>
        <family val="0"/>
        <charset val="1"/>
      </rPr>
      <t xml:space="preserve">2</t>
    </r>
    <r>
      <rPr>
        <sz val="9"/>
        <rFont val="Noto Sans CJK SC"/>
        <family val="2"/>
      </rPr>
      <t xml:space="preserve">時間</t>
    </r>
    <r>
      <rPr>
        <sz val="9"/>
        <rFont val="Meiryo UI"/>
        <family val="0"/>
        <charset val="1"/>
      </rPr>
      <t xml:space="preserve">40</t>
    </r>
    <r>
      <rPr>
        <sz val="9"/>
        <rFont val="Noto Sans CJK SC"/>
        <family val="2"/>
      </rPr>
      <t xml:space="preserve">分）で、</t>
    </r>
    <r>
      <rPr>
        <sz val="9"/>
        <rFont val="Meiryo UI"/>
        <family val="0"/>
        <charset val="1"/>
      </rPr>
      <t xml:space="preserve">1</t>
    </r>
    <r>
      <rPr>
        <sz val="9"/>
        <rFont val="Noto Sans CJK SC"/>
        <family val="2"/>
      </rPr>
      <t xml:space="preserve">品種の日の平均消費（</t>
    </r>
    <r>
      <rPr>
        <sz val="9"/>
        <rFont val="Meiryo UI"/>
        <family val="0"/>
        <charset val="1"/>
      </rPr>
      <t xml:space="preserve">15</t>
    </r>
    <r>
      <rPr>
        <sz val="9"/>
        <rFont val="Noto Sans CJK SC"/>
        <family val="2"/>
      </rPr>
      <t xml:space="preserve">万袋</t>
    </r>
    <r>
      <rPr>
        <sz val="9"/>
        <rFont val="Meiryo UI"/>
        <family val="0"/>
        <charset val="1"/>
      </rPr>
      <t xml:space="preserve">÷1,050</t>
    </r>
    <r>
      <rPr>
        <sz val="9"/>
        <rFont val="Noto Sans CJK SC"/>
        <family val="2"/>
      </rPr>
      <t xml:space="preserve">分≒</t>
    </r>
    <r>
      <rPr>
        <sz val="9"/>
        <rFont val="Meiryo UI"/>
        <family val="0"/>
        <charset val="1"/>
      </rPr>
      <t xml:space="preserve">143</t>
    </r>
    <r>
      <rPr>
        <sz val="9"/>
        <rFont val="Noto Sans CJK SC"/>
        <family val="2"/>
      </rPr>
      <t xml:space="preserve">袋</t>
    </r>
    <r>
      <rPr>
        <sz val="9"/>
        <rFont val="Meiryo UI"/>
        <family val="0"/>
        <charset val="1"/>
      </rPr>
      <t xml:space="preserve">/</t>
    </r>
    <r>
      <rPr>
        <sz val="9"/>
        <rFont val="Noto Sans CJK SC"/>
        <family val="2"/>
      </rPr>
      <t xml:space="preserve">分）では約</t>
    </r>
    <r>
      <rPr>
        <sz val="9"/>
        <rFont val="Meiryo UI"/>
        <family val="0"/>
        <charset val="1"/>
      </rPr>
      <t xml:space="preserve">168</t>
    </r>
    <r>
      <rPr>
        <sz val="9"/>
        <rFont val="Noto Sans CJK SC"/>
        <family val="2"/>
      </rPr>
      <t xml:space="preserve">分。入替回数の計算（</t>
    </r>
    <r>
      <rPr>
        <sz val="9"/>
        <rFont val="Meiryo UI"/>
        <family val="0"/>
        <charset val="1"/>
      </rPr>
      <t xml:space="preserve">1</t>
    </r>
    <r>
      <rPr>
        <sz val="9"/>
        <rFont val="Noto Sans CJK SC"/>
        <family val="2"/>
      </rPr>
      <t xml:space="preserve">品種の日</t>
    </r>
    <r>
      <rPr>
        <sz val="9"/>
        <rFont val="Meiryo UI"/>
        <family val="0"/>
        <charset val="1"/>
      </rPr>
      <t xml:space="preserve">6</t>
    </r>
    <r>
      <rPr>
        <sz val="9"/>
        <rFont val="Noto Sans CJK SC"/>
        <family val="2"/>
      </rPr>
      <t xml:space="preserve">回・</t>
    </r>
    <r>
      <rPr>
        <sz val="9"/>
        <rFont val="Meiryo UI"/>
        <family val="0"/>
        <charset val="1"/>
      </rPr>
      <t xml:space="preserve">2</t>
    </r>
    <r>
      <rPr>
        <sz val="9"/>
        <rFont val="Noto Sans CJK SC"/>
        <family val="2"/>
      </rPr>
      <t xml:space="preserve">品種の日</t>
    </r>
    <r>
      <rPr>
        <sz val="9"/>
        <rFont val="Meiryo UI"/>
        <family val="0"/>
        <charset val="1"/>
      </rPr>
      <t xml:space="preserve">4</t>
    </r>
    <r>
      <rPr>
        <sz val="9"/>
        <rFont val="Noto Sans CJK SC"/>
        <family val="2"/>
      </rPr>
      <t xml:space="preserve">回）とも「約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t>
    </r>
    <r>
      <rPr>
        <sz val="9"/>
        <rFont val="Meiryo UI"/>
        <family val="0"/>
        <charset val="1"/>
      </rPr>
      <t xml:space="preserve">1</t>
    </r>
    <r>
      <rPr>
        <sz val="9"/>
        <rFont val="Noto Sans CJK SC"/>
        <family val="2"/>
      </rPr>
      <t xml:space="preserve">日約</t>
    </r>
    <r>
      <rPr>
        <sz val="9"/>
        <rFont val="Meiryo UI"/>
        <family val="0"/>
        <charset val="1"/>
      </rPr>
      <t xml:space="preserve">8.75</t>
    </r>
    <r>
      <rPr>
        <sz val="9"/>
        <rFont val="Noto Sans CJK SC"/>
        <family val="2"/>
      </rPr>
      <t xml:space="preserve">回）は整合しない。
仮に</t>
    </r>
    <r>
      <rPr>
        <sz val="9"/>
        <rFont val="Meiryo UI"/>
        <family val="0"/>
        <charset val="1"/>
      </rPr>
      <t xml:space="preserve">2</t>
    </r>
    <r>
      <rPr>
        <sz val="9"/>
        <rFont val="Noto Sans CJK SC"/>
        <family val="2"/>
      </rPr>
      <t xml:space="preserve">時間ごとなら入替は約</t>
    </r>
    <r>
      <rPr>
        <sz val="9"/>
        <rFont val="Meiryo UI"/>
        <family val="0"/>
        <charset val="1"/>
      </rPr>
      <t xml:space="preserve">26</t>
    </r>
    <r>
      <rPr>
        <sz val="9"/>
        <rFont val="Noto Sans CJK SC"/>
        <family val="2"/>
      </rPr>
      <t xml:space="preserve">分</t>
    </r>
    <r>
      <rPr>
        <sz val="9"/>
        <rFont val="Meiryo UI"/>
        <family val="0"/>
        <charset val="1"/>
      </rPr>
      <t xml:space="preserve">/</t>
    </r>
    <r>
      <rPr>
        <sz val="9"/>
        <rFont val="Noto Sans CJK SC"/>
        <family val="2"/>
      </rPr>
      <t xml:space="preserve">日となり、省力化指数は</t>
    </r>
    <r>
      <rPr>
        <sz val="9"/>
        <rFont val="Meiryo UI"/>
        <family val="0"/>
        <charset val="1"/>
      </rPr>
      <t xml:space="preserve">0.76</t>
    </r>
    <r>
      <rPr>
        <sz val="9"/>
        <rFont val="Noto Sans CJK SC"/>
        <family val="2"/>
      </rPr>
      <t xml:space="preserve">〜</t>
    </r>
    <r>
      <rPr>
        <sz val="9"/>
        <rFont val="Meiryo UI"/>
        <family val="0"/>
        <charset val="1"/>
      </rPr>
      <t xml:space="preserve">0.77</t>
    </r>
    <r>
      <rPr>
        <sz val="9"/>
        <rFont val="Noto Sans CJK SC"/>
        <family val="2"/>
      </rPr>
      <t xml:space="preserve">に下がる計算になるため、表現の不一致が省力化指数の信頼性に響く。</t>
    </r>
  </si>
  <si>
    <r>
      <rPr>
        <sz val="9"/>
        <rFont val="Noto Sans CJK SC"/>
        <family val="2"/>
      </rPr>
      <t xml:space="preserve">「</t>
    </r>
    <r>
      <rPr>
        <sz val="9"/>
        <rFont val="Meiryo UI"/>
        <family val="0"/>
        <charset val="1"/>
      </rPr>
      <t xml:space="preserve">24,000</t>
    </r>
    <r>
      <rPr>
        <sz val="9"/>
        <rFont val="Noto Sans CJK SC"/>
        <family val="2"/>
      </rPr>
      <t xml:space="preserve">袋（製袋機の最大能力</t>
    </r>
    <r>
      <rPr>
        <sz val="9"/>
        <rFont val="Meiryo UI"/>
        <family val="0"/>
        <charset val="1"/>
      </rPr>
      <t xml:space="preserve">150</t>
    </r>
    <r>
      <rPr>
        <sz val="9"/>
        <rFont val="Noto Sans CJK SC"/>
        <family val="2"/>
      </rPr>
      <t xml:space="preserve">袋</t>
    </r>
    <r>
      <rPr>
        <sz val="9"/>
        <rFont val="Meiryo UI"/>
        <family val="0"/>
        <charset val="1"/>
      </rPr>
      <t xml:space="preserve">/</t>
    </r>
    <r>
      <rPr>
        <sz val="9"/>
        <rFont val="Noto Sans CJK SC"/>
        <family val="2"/>
      </rPr>
      <t xml:space="preserve">分で約</t>
    </r>
    <r>
      <rPr>
        <sz val="9"/>
        <rFont val="Meiryo UI"/>
        <family val="0"/>
        <charset val="1"/>
      </rPr>
      <t xml:space="preserve">2</t>
    </r>
    <r>
      <rPr>
        <sz val="9"/>
        <rFont val="Noto Sans CJK SC"/>
        <family val="2"/>
      </rPr>
      <t xml:space="preserve">時間</t>
    </r>
    <r>
      <rPr>
        <sz val="9"/>
        <rFont val="Meiryo UI"/>
        <family val="0"/>
        <charset val="1"/>
      </rPr>
      <t xml:space="preserve">40</t>
    </r>
    <r>
      <rPr>
        <sz val="9"/>
        <rFont val="Noto Sans CJK SC"/>
        <family val="2"/>
      </rPr>
      <t xml:space="preserve">分分）」「約</t>
    </r>
    <r>
      <rPr>
        <sz val="9"/>
        <rFont val="Meiryo UI"/>
        <family val="0"/>
        <charset val="1"/>
      </rPr>
      <t xml:space="preserve">2.5</t>
    </r>
    <r>
      <rPr>
        <sz val="9"/>
        <rFont val="Noto Sans CJK SC"/>
        <family val="2"/>
      </rPr>
      <t xml:space="preserve">〜</t>
    </r>
    <r>
      <rPr>
        <sz val="9"/>
        <rFont val="Meiryo UI"/>
        <family val="0"/>
        <charset val="1"/>
      </rPr>
      <t xml:space="preserve">3</t>
    </r>
    <r>
      <rPr>
        <sz val="9"/>
        <rFont val="Noto Sans CJK SC"/>
        <family val="2"/>
      </rPr>
      <t xml:space="preserve">時間に</t>
    </r>
    <r>
      <rPr>
        <sz val="9"/>
        <rFont val="Meiryo UI"/>
        <family val="0"/>
        <charset val="1"/>
      </rPr>
      <t xml:space="preserve">1</t>
    </r>
    <r>
      <rPr>
        <sz val="9"/>
        <rFont val="Noto Sans CJK SC"/>
        <family val="2"/>
      </rPr>
      <t xml:space="preserve">回（</t>
    </r>
    <r>
      <rPr>
        <sz val="9"/>
        <rFont val="Meiryo UI"/>
        <family val="0"/>
        <charset val="1"/>
      </rPr>
      <t xml:space="preserve">1</t>
    </r>
    <r>
      <rPr>
        <sz val="9"/>
        <rFont val="Noto Sans CJK SC"/>
        <family val="2"/>
      </rPr>
      <t xml:space="preserve">品種の日</t>
    </r>
    <r>
      <rPr>
        <sz val="9"/>
        <rFont val="Meiryo UI"/>
        <family val="0"/>
        <charset val="1"/>
      </rPr>
      <t xml:space="preserve">6</t>
    </r>
    <r>
      <rPr>
        <sz val="9"/>
        <rFont val="Noto Sans CJK SC"/>
        <family val="2"/>
      </rPr>
      <t xml:space="preserve">回・</t>
    </r>
    <r>
      <rPr>
        <sz val="9"/>
        <rFont val="Meiryo UI"/>
        <family val="0"/>
        <charset val="1"/>
      </rPr>
      <t xml:space="preserve">2</t>
    </r>
    <r>
      <rPr>
        <sz val="9"/>
        <rFont val="Noto Sans CJK SC"/>
        <family val="2"/>
      </rPr>
      <t xml:space="preserve">品種の日</t>
    </r>
    <r>
      <rPr>
        <sz val="9"/>
        <rFont val="Meiryo UI"/>
        <family val="0"/>
        <charset val="1"/>
      </rPr>
      <t xml:space="preserve">4</t>
    </r>
    <r>
      <rPr>
        <sz val="9"/>
        <rFont val="Noto Sans CJK SC"/>
        <family val="2"/>
      </rPr>
      <t xml:space="preserve">回）」等に統一する（本文・その３（別紙２）・図）。フジシール資料の「約</t>
    </r>
    <r>
      <rPr>
        <sz val="9"/>
        <rFont val="Meiryo UI"/>
        <family val="0"/>
        <charset val="1"/>
      </rPr>
      <t xml:space="preserve">2</t>
    </r>
    <r>
      <rPr>
        <sz val="9"/>
        <rFont val="Noto Sans CJK SC"/>
        <family val="2"/>
      </rPr>
      <t xml:space="preserve">時間分」を残す場合は「余裕を見た目安」と注記し、入替回数の算定根拠（生産量</t>
    </r>
    <r>
      <rPr>
        <sz val="9"/>
        <rFont val="Meiryo UI"/>
        <family val="0"/>
        <charset val="1"/>
      </rPr>
      <t xml:space="preserve">÷24,000</t>
    </r>
    <r>
      <rPr>
        <sz val="9"/>
        <rFont val="Noto Sans CJK SC"/>
        <family val="2"/>
      </rPr>
      <t xml:space="preserve">袋）を明記する。</t>
    </r>
  </si>
  <si>
    <r>
      <rPr>
        <sz val="9"/>
        <rFont val="Noto Sans CJK SC"/>
        <family val="2"/>
      </rPr>
      <t xml:space="preserve">数値照合シート（ストック持続時間・入替間隔）／図元データ（</t>
    </r>
    <r>
      <rPr>
        <sz val="9"/>
        <rFont val="Meiryo UI"/>
        <family val="0"/>
        <charset val="1"/>
      </rPr>
      <t xml:space="preserve">pptx v3 p.6</t>
    </r>
    <r>
      <rPr>
        <sz val="9"/>
        <rFont val="Noto Sans CJK SC"/>
        <family val="2"/>
      </rPr>
      <t xml:space="preserve">）</t>
    </r>
  </si>
  <si>
    <t xml:space="preserve">数値・計算（要確認）</t>
  </si>
  <si>
    <r>
      <rPr>
        <sz val="9"/>
        <rFont val="Meiryo UI"/>
        <family val="0"/>
        <charset val="1"/>
      </rPr>
      <t xml:space="preserve">2-1④</t>
    </r>
    <r>
      <rPr>
        <sz val="9"/>
        <rFont val="Noto Sans CJK SC"/>
        <family val="2"/>
      </rPr>
      <t xml:space="preserve">注記「型替え</t>
    </r>
    <r>
      <rPr>
        <sz val="9"/>
        <rFont val="Meiryo UI"/>
        <family val="0"/>
        <charset val="1"/>
      </rPr>
      <t xml:space="preserve">0</t>
    </r>
    <r>
      <rPr>
        <sz val="9"/>
        <rFont val="Noto Sans CJK SC"/>
        <family val="2"/>
      </rPr>
      <t xml:space="preserve">分／</t>
    </r>
    <r>
      <rPr>
        <sz val="9"/>
        <rFont val="Meiryo UI"/>
        <family val="0"/>
        <charset val="1"/>
      </rPr>
      <t xml:space="preserve">14</t>
    </r>
    <r>
      <rPr>
        <sz val="9"/>
        <rFont val="Noto Sans CJK SC"/>
        <family val="2"/>
      </rPr>
      <t xml:space="preserve">分→</t>
    </r>
    <r>
      <rPr>
        <sz val="9"/>
        <rFont val="Meiryo UI"/>
        <family val="0"/>
        <charset val="1"/>
      </rPr>
      <t xml:space="preserve">7</t>
    </r>
    <r>
      <rPr>
        <sz val="9"/>
        <rFont val="Noto Sans CJK SC"/>
        <family val="2"/>
      </rPr>
      <t xml:space="preserve">分」、その３（別紙２）「機内</t>
    </r>
    <r>
      <rPr>
        <sz val="9"/>
        <rFont val="Meiryo UI"/>
        <family val="0"/>
        <charset val="1"/>
      </rPr>
      <t xml:space="preserve">25</t>
    </r>
    <r>
      <rPr>
        <sz val="9"/>
        <rFont val="Noto Sans CJK SC"/>
        <family val="2"/>
      </rPr>
      <t xml:space="preserve">枚のガイド幅を替える（約</t>
    </r>
    <r>
      <rPr>
        <sz val="9"/>
        <rFont val="Meiryo UI"/>
        <family val="0"/>
        <charset val="1"/>
      </rPr>
      <t xml:space="preserve">1.1</t>
    </r>
    <r>
      <rPr>
        <sz val="9"/>
        <rFont val="Noto Sans CJK SC"/>
        <family val="2"/>
      </rPr>
      <t xml:space="preserve">分／枚≒</t>
    </r>
    <r>
      <rPr>
        <sz val="9"/>
        <rFont val="Meiryo UI"/>
        <family val="0"/>
        <charset val="1"/>
      </rPr>
      <t xml:space="preserve">28</t>
    </r>
    <r>
      <rPr>
        <sz val="9"/>
        <rFont val="Noto Sans CJK SC"/>
        <family val="2"/>
      </rPr>
      <t xml:space="preserve">分）」</t>
    </r>
  </si>
  <si>
    <r>
      <rPr>
        <sz val="9"/>
        <rFont val="Noto Sans CJK SC"/>
        <family val="2"/>
      </rPr>
      <t xml:space="preserve">「パウチ形状が変わる品種切替時に、機内</t>
    </r>
    <r>
      <rPr>
        <sz val="9"/>
        <rFont val="Meiryo UI"/>
        <family val="0"/>
        <charset val="1"/>
      </rPr>
      <t xml:space="preserve">25</t>
    </r>
    <r>
      <rPr>
        <sz val="9"/>
        <rFont val="Noto Sans CJK SC"/>
        <family val="2"/>
      </rPr>
      <t xml:space="preserve">枚のガイド幅を替える（約</t>
    </r>
    <r>
      <rPr>
        <sz val="9"/>
        <rFont val="Meiryo UI"/>
        <family val="0"/>
        <charset val="1"/>
      </rPr>
      <t xml:space="preserve">1.1</t>
    </r>
    <r>
      <rPr>
        <sz val="9"/>
        <rFont val="Noto Sans CJK SC"/>
        <family val="2"/>
      </rPr>
      <t xml:space="preserve">分／枚≒</t>
    </r>
    <r>
      <rPr>
        <sz val="9"/>
        <rFont val="Meiryo UI"/>
        <family val="0"/>
        <charset val="1"/>
      </rPr>
      <t xml:space="preserve">28</t>
    </r>
    <r>
      <rPr>
        <sz val="9"/>
        <rFont val="Noto Sans CJK SC"/>
        <family val="2"/>
      </rPr>
      <t xml:space="preserve">分）。月平均」</t>
    </r>
  </si>
  <si>
    <r>
      <rPr>
        <sz val="9"/>
        <rFont val="Noto Sans CJK SC"/>
        <family val="2"/>
      </rPr>
      <t xml:space="preserve">型替えは機内の</t>
    </r>
    <r>
      <rPr>
        <sz val="9"/>
        <rFont val="Meiryo UI"/>
        <family val="0"/>
        <charset val="1"/>
      </rPr>
      <t xml:space="preserve">25</t>
    </r>
    <r>
      <rPr>
        <sz val="9"/>
        <rFont val="Noto Sans CJK SC"/>
        <family val="2"/>
      </rPr>
      <t xml:space="preserve">枚だけを対象としているが、品種切替後の品種用に床で詰める予備パレット（遅番用の約</t>
    </r>
    <r>
      <rPr>
        <sz val="9"/>
        <rFont val="Meiryo UI"/>
        <family val="0"/>
        <charset val="1"/>
      </rPr>
      <t xml:space="preserve">50</t>
    </r>
    <r>
      <rPr>
        <sz val="9"/>
        <rFont val="Noto Sans CJK SC"/>
        <family val="2"/>
      </rPr>
      <t xml:space="preserve">枚を含む）もガイド幅の変更が必要ではないか（</t>
    </r>
    <r>
      <rPr>
        <sz val="9"/>
        <rFont val="Meiryo UI"/>
        <family val="0"/>
        <charset val="1"/>
      </rPr>
      <t xml:space="preserve">2</t>
    </r>
    <r>
      <rPr>
        <sz val="9"/>
        <rFont val="Noto Sans CJK SC"/>
        <family val="2"/>
      </rPr>
      <t xml:space="preserve">品種の日は</t>
    </r>
    <r>
      <rPr>
        <sz val="9"/>
        <rFont val="Meiryo UI"/>
        <family val="0"/>
        <charset val="1"/>
      </rPr>
      <t xml:space="preserve">84</t>
    </r>
    <r>
      <rPr>
        <sz val="9"/>
        <rFont val="Noto Sans CJK SC"/>
        <family val="2"/>
      </rPr>
      <t xml:space="preserve">枚使用、うち後半品種分は約</t>
    </r>
    <r>
      <rPr>
        <sz val="9"/>
        <rFont val="Meiryo UI"/>
        <family val="0"/>
        <charset val="1"/>
      </rPr>
      <t xml:space="preserve">42</t>
    </r>
    <r>
      <rPr>
        <sz val="9"/>
        <rFont val="Noto Sans CJK SC"/>
        <family val="2"/>
      </rPr>
      <t xml:space="preserve">枚）。後半品種分</t>
    </r>
    <r>
      <rPr>
        <sz val="9"/>
        <rFont val="Meiryo UI"/>
        <family val="0"/>
        <charset val="1"/>
      </rPr>
      <t xml:space="preserve">42</t>
    </r>
    <r>
      <rPr>
        <sz val="9"/>
        <rFont val="Noto Sans CJK SC"/>
        <family val="2"/>
      </rPr>
      <t xml:space="preserve">枚も対象なら約</t>
    </r>
    <r>
      <rPr>
        <sz val="9"/>
        <rFont val="Meiryo UI"/>
        <family val="0"/>
        <charset val="1"/>
      </rPr>
      <t xml:space="preserve">46</t>
    </r>
    <r>
      <rPr>
        <sz val="9"/>
        <rFont val="Noto Sans CJK SC"/>
        <family val="2"/>
      </rPr>
      <t xml:space="preserve">分</t>
    </r>
    <r>
      <rPr>
        <sz val="9"/>
        <rFont val="Meiryo UI"/>
        <family val="0"/>
        <charset val="1"/>
      </rPr>
      <t xml:space="preserve">/</t>
    </r>
    <r>
      <rPr>
        <sz val="9"/>
        <rFont val="Noto Sans CJK SC"/>
        <family val="2"/>
      </rPr>
      <t xml:space="preserve">回（月平均約</t>
    </r>
    <r>
      <rPr>
        <sz val="9"/>
        <rFont val="Meiryo UI"/>
        <family val="0"/>
        <charset val="1"/>
      </rPr>
      <t xml:space="preserve">12</t>
    </r>
    <r>
      <rPr>
        <sz val="9"/>
        <rFont val="Noto Sans CJK SC"/>
        <family val="2"/>
      </rPr>
      <t xml:space="preserve">分）で、省力化指数は</t>
    </r>
    <r>
      <rPr>
        <sz val="9"/>
        <rFont val="Meiryo UI"/>
        <family val="0"/>
        <charset val="1"/>
      </rPr>
      <t xml:space="preserve">0.77</t>
    </r>
    <r>
      <rPr>
        <sz val="9"/>
        <rFont val="Noto Sans CJK SC"/>
        <family val="2"/>
      </rPr>
      <t xml:space="preserve">に下がる。
また単位時間は仕様（約</t>
    </r>
    <r>
      <rPr>
        <sz val="9"/>
        <rFont val="Meiryo UI"/>
        <family val="0"/>
        <charset val="1"/>
      </rPr>
      <t xml:space="preserve">1</t>
    </r>
    <r>
      <rPr>
        <sz val="9"/>
        <rFont val="Noto Sans CJK SC"/>
        <family val="2"/>
      </rPr>
      <t xml:space="preserve">〜</t>
    </r>
    <r>
      <rPr>
        <sz val="9"/>
        <rFont val="Meiryo UI"/>
        <family val="0"/>
        <charset val="1"/>
      </rPr>
      <t xml:space="preserve">1.5</t>
    </r>
    <r>
      <rPr>
        <sz val="9"/>
        <rFont val="Noto Sans CJK SC"/>
        <family val="2"/>
      </rPr>
      <t xml:space="preserve">分</t>
    </r>
    <r>
      <rPr>
        <sz val="9"/>
        <rFont val="Meiryo UI"/>
        <family val="0"/>
        <charset val="1"/>
      </rPr>
      <t xml:space="preserve">/</t>
    </r>
    <r>
      <rPr>
        <sz val="9"/>
        <rFont val="Noto Sans CJK SC"/>
        <family val="2"/>
      </rPr>
      <t xml:space="preserve">枚）の下限に近い</t>
    </r>
    <r>
      <rPr>
        <sz val="9"/>
        <rFont val="Meiryo UI"/>
        <family val="0"/>
        <charset val="1"/>
      </rPr>
      <t xml:space="preserve">1.1</t>
    </r>
    <r>
      <rPr>
        <sz val="9"/>
        <rFont val="Noto Sans CJK SC"/>
        <family val="2"/>
      </rPr>
      <t xml:space="preserve">分を採用している。</t>
    </r>
  </si>
  <si>
    <r>
      <rPr>
        <sz val="9"/>
        <rFont val="Noto Sans CJK SC"/>
        <family val="2"/>
      </rPr>
      <t xml:space="preserve">①予備パレットを品種（形状）ごとに分けて保有する等、</t>
    </r>
    <r>
      <rPr>
        <sz val="9"/>
        <rFont val="Meiryo UI"/>
        <family val="0"/>
        <charset val="1"/>
      </rPr>
      <t xml:space="preserve">25</t>
    </r>
    <r>
      <rPr>
        <sz val="9"/>
        <rFont val="Noto Sans CJK SC"/>
        <family val="2"/>
      </rPr>
      <t xml:space="preserve">枚の型替えで足りる運用の理由を一文追記する。または②対象枚数・単位時間の根拠をフジシール改訂提案（</t>
    </r>
    <r>
      <rPr>
        <sz val="9"/>
        <rFont val="Meiryo UI"/>
        <family val="0"/>
        <charset val="1"/>
      </rPr>
      <t xml:space="preserve">2026/3/25</t>
    </r>
    <r>
      <rPr>
        <sz val="9"/>
        <rFont val="Noto Sans CJK SC"/>
        <family val="2"/>
      </rPr>
      <t xml:space="preserve">）で確認し、必要なら数値を修正する。</t>
    </r>
  </si>
  <si>
    <r>
      <rPr>
        <sz val="9"/>
        <rFont val="Noto Sans CJK SC"/>
        <family val="2"/>
      </rPr>
      <t xml:space="preserve">その３（別紙２）／その１その２ </t>
    </r>
    <r>
      <rPr>
        <sz val="9"/>
        <rFont val="Meiryo UI"/>
        <family val="0"/>
        <charset val="1"/>
      </rPr>
      <t xml:space="preserve">2</t>
    </r>
    <r>
      <rPr>
        <sz val="9"/>
        <rFont val="Noto Sans CJK SC"/>
        <family val="2"/>
      </rPr>
      <t xml:space="preserve">章主要仕様</t>
    </r>
  </si>
  <si>
    <t xml:space="preserve">表記・定義</t>
  </si>
  <si>
    <r>
      <rPr>
        <sz val="9"/>
        <rFont val="Meiryo UI"/>
        <family val="0"/>
        <charset val="1"/>
      </rPr>
      <t xml:space="preserve">2</t>
    </r>
    <r>
      <rPr>
        <sz val="9"/>
        <rFont val="Noto Sans CJK SC"/>
        <family val="2"/>
      </rPr>
      <t xml:space="preserve">章冒頭「投資総額は</t>
    </r>
    <r>
      <rPr>
        <sz val="9"/>
        <rFont val="Meiryo UI"/>
        <family val="0"/>
        <charset val="1"/>
      </rPr>
      <t xml:space="preserve">92,000,000</t>
    </r>
    <r>
      <rPr>
        <sz val="9"/>
        <rFont val="Noto Sans CJK SC"/>
        <family val="2"/>
      </rPr>
      <t xml:space="preserve">円（税抜）」／</t>
    </r>
    <r>
      <rPr>
        <sz val="9"/>
        <rFont val="Meiryo UI"/>
        <family val="0"/>
        <charset val="1"/>
      </rPr>
      <t xml:space="preserve">2-2②</t>
    </r>
    <r>
      <rPr>
        <sz val="9"/>
        <rFont val="Noto Sans CJK SC"/>
        <family val="2"/>
      </rPr>
      <t xml:space="preserve">・</t>
    </r>
    <r>
      <rPr>
        <sz val="9"/>
        <rFont val="Meiryo UI"/>
        <family val="0"/>
        <charset val="1"/>
      </rPr>
      <t xml:space="preserve">4</t>
    </r>
    <r>
      <rPr>
        <sz val="9"/>
        <rFont val="Noto Sans CJK SC"/>
        <family val="2"/>
      </rPr>
      <t xml:space="preserve">章①・その３（別紙３）「投資総額</t>
    </r>
    <r>
      <rPr>
        <sz val="9"/>
        <rFont val="Meiryo UI"/>
        <family val="0"/>
        <charset val="1"/>
      </rPr>
      <t xml:space="preserve">101,200,000</t>
    </r>
    <r>
      <rPr>
        <sz val="9"/>
        <rFont val="Noto Sans CJK SC"/>
        <family val="2"/>
      </rPr>
      <t xml:space="preserve">円（税込）」</t>
    </r>
  </si>
  <si>
    <r>
      <rPr>
        <sz val="9"/>
        <rFont val="Noto Sans CJK SC"/>
        <family val="2"/>
      </rPr>
      <t xml:space="preserve">「投資総額は</t>
    </r>
    <r>
      <rPr>
        <sz val="9"/>
        <rFont val="Meiryo UI"/>
        <family val="0"/>
        <charset val="1"/>
      </rPr>
      <t xml:space="preserve">92,000,000</t>
    </r>
    <r>
      <rPr>
        <sz val="9"/>
        <rFont val="Noto Sans CJK SC"/>
        <family val="2"/>
      </rPr>
      <t xml:space="preserve">円（税抜）、補助率</t>
    </r>
    <r>
      <rPr>
        <sz val="9"/>
        <rFont val="Meiryo UI"/>
        <family val="0"/>
        <charset val="1"/>
      </rPr>
      <t xml:space="preserve">1/2</t>
    </r>
    <r>
      <rPr>
        <sz val="9"/>
        <rFont val="Noto Sans CJK SC"/>
        <family val="2"/>
      </rPr>
      <t xml:space="preserve">で、補助申請額は</t>
    </r>
    <r>
      <rPr>
        <sz val="9"/>
        <rFont val="Meiryo UI"/>
        <family val="0"/>
        <charset val="1"/>
      </rPr>
      <t xml:space="preserve">46,000,000</t>
    </r>
    <r>
      <rPr>
        <sz val="9"/>
        <rFont val="Noto Sans CJK SC"/>
        <family val="2"/>
      </rPr>
      <t xml:space="preserve">円である」</t>
    </r>
  </si>
  <si>
    <r>
      <rPr>
        <sz val="9"/>
        <rFont val="Noto Sans CJK SC"/>
        <family val="2"/>
      </rPr>
      <t xml:space="preserve">同じ「投資総額」という言葉が、税抜</t>
    </r>
    <r>
      <rPr>
        <sz val="9"/>
        <rFont val="Meiryo UI"/>
        <family val="0"/>
        <charset val="1"/>
      </rPr>
      <t xml:space="preserve">92,000,000</t>
    </r>
    <r>
      <rPr>
        <sz val="9"/>
        <rFont val="Noto Sans CJK SC"/>
        <family val="2"/>
      </rPr>
      <t xml:space="preserve">円と税込</t>
    </r>
    <r>
      <rPr>
        <sz val="9"/>
        <rFont val="Meiryo UI"/>
        <family val="0"/>
        <charset val="1"/>
      </rPr>
      <t xml:space="preserve">101,200,000</t>
    </r>
    <r>
      <rPr>
        <sz val="9"/>
        <rFont val="Noto Sans CJK SC"/>
        <family val="2"/>
      </rPr>
      <t xml:space="preserve">円の</t>
    </r>
    <r>
      <rPr>
        <sz val="9"/>
        <rFont val="Meiryo UI"/>
        <family val="0"/>
        <charset val="1"/>
      </rPr>
      <t xml:space="preserve">2</t>
    </r>
    <r>
      <rPr>
        <sz val="9"/>
        <rFont val="Noto Sans CJK SC"/>
        <family val="2"/>
      </rPr>
      <t xml:space="preserve">通りで使われている。</t>
    </r>
  </si>
  <si>
    <r>
      <rPr>
        <sz val="9"/>
        <rFont val="Meiryo UI"/>
        <family val="0"/>
        <charset val="1"/>
      </rPr>
      <t xml:space="preserve">2</t>
    </r>
    <r>
      <rPr>
        <sz val="9"/>
        <rFont val="Noto Sans CJK SC"/>
        <family val="2"/>
      </rPr>
      <t xml:space="preserve">章は「補助対象経費は</t>
    </r>
    <r>
      <rPr>
        <sz val="9"/>
        <rFont val="Meiryo UI"/>
        <family val="0"/>
        <charset val="1"/>
      </rPr>
      <t xml:space="preserve">92,000,000</t>
    </r>
    <r>
      <rPr>
        <sz val="9"/>
        <rFont val="Noto Sans CJK SC"/>
        <family val="2"/>
      </rPr>
      <t xml:space="preserve">円（税抜。投資総額は税込</t>
    </r>
    <r>
      <rPr>
        <sz val="9"/>
        <rFont val="Meiryo UI"/>
        <family val="0"/>
        <charset val="1"/>
      </rPr>
      <t xml:space="preserve">101,200,000</t>
    </r>
    <r>
      <rPr>
        <sz val="9"/>
        <rFont val="Noto Sans CJK SC"/>
        <family val="2"/>
      </rPr>
      <t xml:space="preserve">円）」と統一する。対象外経費を切り分ける場合（</t>
    </r>
    <r>
      <rPr>
        <sz val="9"/>
        <rFont val="Meiryo UI"/>
        <family val="0"/>
        <charset val="1"/>
      </rPr>
      <t xml:space="preserve">No.2</t>
    </r>
    <r>
      <rPr>
        <sz val="9"/>
        <rFont val="Noto Sans CJK SC"/>
        <family val="2"/>
      </rPr>
      <t xml:space="preserve">）は投資総額の内訳も明示する。</t>
    </r>
  </si>
  <si>
    <r>
      <rPr>
        <sz val="9"/>
        <rFont val="Meiryo UI"/>
        <family val="0"/>
        <charset val="1"/>
      </rPr>
      <t xml:space="preserve">2-b</t>
    </r>
    <r>
      <rPr>
        <sz val="9"/>
        <rFont val="Noto Sans CJK SC"/>
        <family val="2"/>
      </rPr>
      <t xml:space="preserve">、</t>
    </r>
    <r>
      <rPr>
        <sz val="9"/>
        <rFont val="Meiryo UI"/>
        <family val="0"/>
        <charset val="1"/>
      </rPr>
      <t xml:space="preserve">3-g</t>
    </r>
  </si>
  <si>
    <t xml:space="preserve">—</t>
  </si>
  <si>
    <r>
      <rPr>
        <sz val="9"/>
        <rFont val="Noto Sans CJK SC"/>
        <family val="2"/>
      </rPr>
      <t xml:space="preserve">その３（別紙３）【算定根拠】「投資総額</t>
    </r>
    <r>
      <rPr>
        <sz val="9"/>
        <rFont val="Meiryo UI"/>
        <family val="0"/>
        <charset val="1"/>
      </rPr>
      <t xml:space="preserve">101,200,000</t>
    </r>
    <r>
      <rPr>
        <sz val="9"/>
        <rFont val="Noto Sans CJK SC"/>
        <family val="2"/>
      </rPr>
      <t xml:space="preserve">円＝…補助対象経費</t>
    </r>
    <r>
      <rPr>
        <sz val="9"/>
        <rFont val="Meiryo UI"/>
        <family val="0"/>
        <charset val="1"/>
      </rPr>
      <t xml:space="preserve">92,000,000</t>
    </r>
    <r>
      <rPr>
        <sz val="9"/>
        <rFont val="Noto Sans CJK SC"/>
        <family val="2"/>
      </rPr>
      <t xml:space="preserve">円（税抜）</t>
    </r>
    <r>
      <rPr>
        <sz val="9"/>
        <rFont val="Meiryo UI"/>
        <family val="0"/>
        <charset val="1"/>
      </rPr>
      <t xml:space="preserve">×1.1</t>
    </r>
    <r>
      <rPr>
        <sz val="9"/>
        <rFont val="Noto Sans CJK SC"/>
        <family val="2"/>
      </rPr>
      <t xml:space="preserve">」、その１その２ </t>
    </r>
    <r>
      <rPr>
        <sz val="9"/>
        <rFont val="Meiryo UI"/>
        <family val="0"/>
        <charset val="1"/>
      </rPr>
      <t xml:space="preserve">4</t>
    </r>
    <r>
      <rPr>
        <sz val="9"/>
        <rFont val="Noto Sans CJK SC"/>
        <family val="2"/>
      </rPr>
      <t xml:space="preserve">章①</t>
    </r>
  </si>
  <si>
    <r>
      <rPr>
        <sz val="9"/>
        <rFont val="Noto Sans CJK SC"/>
        <family val="2"/>
      </rPr>
      <t xml:space="preserve">「投資総額</t>
    </r>
    <r>
      <rPr>
        <sz val="9"/>
        <rFont val="Meiryo UI"/>
        <family val="0"/>
        <charset val="1"/>
      </rPr>
      <t xml:space="preserve">101,200,000</t>
    </r>
    <r>
      <rPr>
        <sz val="9"/>
        <rFont val="Noto Sans CJK SC"/>
        <family val="2"/>
      </rPr>
      <t xml:space="preserve">円（税込）＝見積総額</t>
    </r>
    <r>
      <rPr>
        <sz val="9"/>
        <rFont val="Meiryo UI"/>
        <family val="0"/>
        <charset val="1"/>
      </rPr>
      <t xml:space="preserve">92,000,000</t>
    </r>
    <r>
      <rPr>
        <sz val="9"/>
        <rFont val="Noto Sans CJK SC"/>
        <family val="2"/>
      </rPr>
      <t xml:space="preserve">円（税抜）</t>
    </r>
    <r>
      <rPr>
        <sz val="9"/>
        <rFont val="Meiryo UI"/>
        <family val="0"/>
        <charset val="1"/>
      </rPr>
      <t xml:space="preserve">×1.1</t>
    </r>
    <r>
      <rPr>
        <sz val="9"/>
        <rFont val="Noto Sans CJK SC"/>
        <family val="2"/>
      </rPr>
      <t xml:space="preserve">」</t>
    </r>
  </si>
  <si>
    <r>
      <rPr>
        <sz val="9"/>
        <rFont val="Noto Sans CJK SC"/>
        <family val="2"/>
      </rPr>
      <t xml:space="preserve">（別紙３）の入力指示は「補助対象額以外の要素も含めた投資総額を税込金額で入力」。図元データ（</t>
    </r>
    <r>
      <rPr>
        <sz val="9"/>
        <rFont val="Meiryo UI"/>
        <family val="0"/>
        <charset val="1"/>
      </rPr>
      <t xml:space="preserve">pptx v3 p.9</t>
    </r>
    <r>
      <rPr>
        <sz val="9"/>
        <rFont val="Noto Sans CJK SC"/>
        <family val="2"/>
      </rPr>
      <t xml:space="preserve">）の見積条件には「ユーティリティ工事は別途」「荷降ろし・設置（アンカー固定まで）、搬入経路上の機器の一時解体は当社手配」とあり、</t>
    </r>
    <r>
      <rPr>
        <sz val="9"/>
        <rFont val="Meiryo UI"/>
        <family val="0"/>
        <charset val="1"/>
      </rPr>
      <t xml:space="preserve">5</t>
    </r>
    <r>
      <rPr>
        <sz val="9"/>
        <rFont val="Noto Sans CJK SC"/>
        <family val="2"/>
      </rPr>
      <t xml:space="preserve">章③にも「ユーティリティ工事を準備」と書かれているが、これらの費用が投資総額・資金計画に含まれていない。</t>
    </r>
  </si>
  <si>
    <r>
      <rPr>
        <sz val="9"/>
        <rFont val="Noto Sans CJK SC"/>
        <family val="2"/>
      </rPr>
      <t xml:space="preserve">ユーティリティ工事・設置作業等の外注費の見込みを確認し、発生する場合は投資総額（税込）と</t>
    </r>
    <r>
      <rPr>
        <sz val="9"/>
        <rFont val="Meiryo UI"/>
        <family val="0"/>
        <charset val="1"/>
      </rPr>
      <t xml:space="preserve">4</t>
    </r>
    <r>
      <rPr>
        <sz val="9"/>
        <rFont val="Noto Sans CJK SC"/>
        <family val="2"/>
      </rPr>
      <t xml:space="preserve">章①の資金計画（補助対象外・自己資金）に加え、投資回収期間を再計算する。</t>
    </r>
  </si>
  <si>
    <r>
      <rPr>
        <sz val="9"/>
        <rFont val="Meiryo UI"/>
        <family val="0"/>
        <charset val="1"/>
      </rPr>
      <t xml:space="preserve">2-b</t>
    </r>
    <r>
      <rPr>
        <sz val="9"/>
        <rFont val="Noto Sans CJK SC"/>
        <family val="2"/>
      </rPr>
      <t xml:space="preserve">、</t>
    </r>
    <r>
      <rPr>
        <sz val="9"/>
        <rFont val="Meiryo UI"/>
        <family val="0"/>
        <charset val="1"/>
      </rPr>
      <t xml:space="preserve">3-c</t>
    </r>
  </si>
  <si>
    <r>
      <rPr>
        <sz val="9"/>
        <rFont val="Noto Sans CJK SC"/>
        <family val="2"/>
      </rPr>
      <t xml:space="preserve">その３様式（別紙３）注記／図元データ </t>
    </r>
    <r>
      <rPr>
        <sz val="9"/>
        <rFont val="Meiryo UI"/>
        <family val="0"/>
        <charset val="1"/>
      </rPr>
      <t xml:space="preserve">pptx v3 p.9</t>
    </r>
    <r>
      <rPr>
        <sz val="9"/>
        <rFont val="Noto Sans CJK SC"/>
        <family val="2"/>
      </rPr>
      <t xml:space="preserve">（見積条件）</t>
    </r>
  </si>
  <si>
    <r>
      <rPr>
        <sz val="9"/>
        <rFont val="Noto Sans CJK SC"/>
        <family val="2"/>
      </rPr>
      <t xml:space="preserve">（４）経費一覧</t>
    </r>
    <r>
      <rPr>
        <sz val="9"/>
        <rFont val="Meiryo UI"/>
        <family val="0"/>
        <charset val="1"/>
      </rPr>
      <t xml:space="preserve">No.3</t>
    </r>
    <r>
      <rPr>
        <sz val="9"/>
        <rFont val="Noto Sans CJK SC"/>
        <family val="2"/>
      </rPr>
      <t xml:space="preserve">、</t>
    </r>
    <r>
      <rPr>
        <sz val="9"/>
        <rFont val="Meiryo UI"/>
        <family val="0"/>
        <charset val="1"/>
      </rPr>
      <t xml:space="preserve">2</t>
    </r>
    <r>
      <rPr>
        <sz val="9"/>
        <rFont val="Noto Sans CJK SC"/>
        <family val="2"/>
      </rPr>
      <t xml:space="preserve">章②表</t>
    </r>
    <r>
      <rPr>
        <sz val="9"/>
        <rFont val="Meiryo UI"/>
        <family val="0"/>
        <charset val="1"/>
      </rPr>
      <t xml:space="preserve">No.3</t>
    </r>
  </si>
  <si>
    <r>
      <rPr>
        <sz val="9"/>
        <rFont val="Noto Sans CJK SC"/>
        <family val="2"/>
      </rPr>
      <t xml:space="preserve">「仮置き台車（詰め済みパレットの仮置き・搬送）　</t>
    </r>
    <r>
      <rPr>
        <sz val="9"/>
        <rFont val="Meiryo UI"/>
        <family val="0"/>
        <charset val="1"/>
      </rPr>
      <t xml:space="preserve">17</t>
    </r>
    <r>
      <rPr>
        <sz val="9"/>
        <rFont val="Noto Sans CJK SC"/>
        <family val="2"/>
      </rPr>
      <t xml:space="preserve">台　</t>
    </r>
    <r>
      <rPr>
        <sz val="9"/>
        <rFont val="Meiryo UI"/>
        <family val="0"/>
        <charset val="1"/>
      </rPr>
      <t xml:space="preserve">120,000</t>
    </r>
    <r>
      <rPr>
        <sz val="9"/>
        <rFont val="Noto Sans CJK SC"/>
        <family val="2"/>
      </rPr>
      <t xml:space="preserve">円　</t>
    </r>
    <r>
      <rPr>
        <sz val="9"/>
        <rFont val="Meiryo UI"/>
        <family val="0"/>
        <charset val="1"/>
      </rPr>
      <t xml:space="preserve">2,040,000</t>
    </r>
    <r>
      <rPr>
        <sz val="9"/>
        <rFont val="Noto Sans CJK SC"/>
        <family val="2"/>
      </rPr>
      <t xml:space="preserve">円」</t>
    </r>
  </si>
  <si>
    <t xml:space="preserve">補助対象は耐用年数省令の「機械及び装置」「器具及び備品」「工具」等に限られ、「車両及び運搬具」は対象外。また「汎用性があり、目的外使用になり得るもの」も対象外（本事業でのみ使用が可能なものを除く）。「台車」は運搬具または汎用品と判断されるおそれがある。</t>
  </si>
  <si>
    <r>
      <rPr>
        <sz val="9"/>
        <rFont val="Noto Sans CJK SC"/>
        <family val="2"/>
      </rPr>
      <t xml:space="preserve">「専用パレット（</t>
    </r>
    <r>
      <rPr>
        <sz val="9"/>
        <rFont val="Meiryo UI"/>
        <family val="0"/>
        <charset val="1"/>
      </rPr>
      <t xml:space="preserve">1,200</t>
    </r>
    <r>
      <rPr>
        <sz val="9"/>
        <rFont val="Noto Sans CJK SC"/>
        <family val="2"/>
      </rPr>
      <t xml:space="preserve">袋・型替えガイド付）専用の仮置き・装填治具（本装置以外に転用不可）」であることを（４）・</t>
    </r>
    <r>
      <rPr>
        <sz val="9"/>
        <rFont val="Meiryo UI"/>
        <family val="0"/>
        <charset val="1"/>
      </rPr>
      <t xml:space="preserve">2</t>
    </r>
    <r>
      <rPr>
        <sz val="9"/>
        <rFont val="Noto Sans CJK SC"/>
        <family val="2"/>
      </rPr>
      <t xml:space="preserve">章②に明記し、見積書の品名も合わせる。専用性を説明できない場合は補助対象外として自己負担に回す。</t>
    </r>
  </si>
  <si>
    <r>
      <rPr>
        <sz val="9"/>
        <rFont val="Noto Sans CJK SC"/>
        <family val="2"/>
      </rPr>
      <t xml:space="preserve">公募要領</t>
    </r>
    <r>
      <rPr>
        <sz val="9"/>
        <rFont val="Meiryo UI"/>
        <family val="0"/>
        <charset val="1"/>
      </rPr>
      <t xml:space="preserve">3-2</t>
    </r>
    <r>
      <rPr>
        <sz val="9"/>
        <rFont val="Noto Sans CJK SC"/>
        <family val="2"/>
      </rPr>
      <t xml:space="preserve">（機械装置・システム構築費の※、補助対象外経費）／手引き</t>
    </r>
    <r>
      <rPr>
        <sz val="9"/>
        <rFont val="Meiryo UI"/>
        <family val="0"/>
        <charset val="1"/>
      </rPr>
      <t xml:space="preserve">5-3 p.43</t>
    </r>
  </si>
  <si>
    <t xml:space="preserve">整合（添付書類）</t>
  </si>
  <si>
    <t xml:space="preserve">その１その２／見積書</t>
  </si>
  <si>
    <r>
      <rPr>
        <sz val="9"/>
        <rFont val="Noto Sans CJK SC"/>
        <family val="2"/>
      </rPr>
      <t xml:space="preserve">（４）経費一覧・</t>
    </r>
    <r>
      <rPr>
        <sz val="9"/>
        <rFont val="Meiryo UI"/>
        <family val="0"/>
        <charset val="1"/>
      </rPr>
      <t xml:space="preserve">2</t>
    </r>
    <r>
      <rPr>
        <sz val="9"/>
        <rFont val="Noto Sans CJK SC"/>
        <family val="2"/>
      </rPr>
      <t xml:space="preserve">章②表（小計</t>
    </r>
    <r>
      <rPr>
        <sz val="9"/>
        <rFont val="Meiryo UI"/>
        <family val="0"/>
        <charset val="1"/>
      </rPr>
      <t xml:space="preserve">96,790,000</t>
    </r>
    <r>
      <rPr>
        <sz val="9"/>
        <rFont val="Noto Sans CJK SC"/>
        <family val="2"/>
      </rPr>
      <t xml:space="preserve">円、値引▲</t>
    </r>
    <r>
      <rPr>
        <sz val="9"/>
        <rFont val="Meiryo UI"/>
        <family val="0"/>
        <charset val="1"/>
      </rPr>
      <t xml:space="preserve">4,790,000</t>
    </r>
    <r>
      <rPr>
        <sz val="9"/>
        <rFont val="Noto Sans CJK SC"/>
        <family val="2"/>
      </rPr>
      <t xml:space="preserve">円）</t>
    </r>
  </si>
  <si>
    <r>
      <rPr>
        <sz val="9"/>
        <rFont val="Noto Sans CJK SC"/>
        <family val="2"/>
      </rPr>
      <t xml:space="preserve">「小計 </t>
    </r>
    <r>
      <rPr>
        <sz val="9"/>
        <rFont val="Meiryo UI"/>
        <family val="0"/>
        <charset val="1"/>
      </rPr>
      <t xml:space="preserve">96,790,000</t>
    </r>
    <r>
      <rPr>
        <sz val="9"/>
        <rFont val="Noto Sans CJK SC"/>
        <family val="2"/>
      </rPr>
      <t xml:space="preserve">円　値引 ▲</t>
    </r>
    <r>
      <rPr>
        <sz val="9"/>
        <rFont val="Meiryo UI"/>
        <family val="0"/>
        <charset val="1"/>
      </rPr>
      <t xml:space="preserve">4,790,000</t>
    </r>
    <r>
      <rPr>
        <sz val="9"/>
        <rFont val="Noto Sans CJK SC"/>
        <family val="2"/>
      </rPr>
      <t xml:space="preserve">円　</t>
    </r>
    <r>
      <rPr>
        <sz val="9"/>
        <rFont val="Meiryo UI"/>
        <family val="0"/>
        <charset val="1"/>
      </rPr>
      <t xml:space="preserve">92,000,000</t>
    </r>
    <r>
      <rPr>
        <sz val="9"/>
        <rFont val="Noto Sans CJK SC"/>
        <family val="2"/>
      </rPr>
      <t xml:space="preserve">円」</t>
    </r>
  </si>
  <si>
    <r>
      <rPr>
        <sz val="9"/>
        <rFont val="Noto Sans CJK SC"/>
        <family val="2"/>
      </rPr>
      <t xml:space="preserve">図元データ（</t>
    </r>
    <r>
      <rPr>
        <sz val="9"/>
        <rFont val="Meiryo UI"/>
        <family val="0"/>
        <charset val="1"/>
      </rPr>
      <t xml:space="preserve">pptx v3 p.9</t>
    </r>
    <r>
      <rPr>
        <sz val="9"/>
        <rFont val="Noto Sans CJK SC"/>
        <family val="2"/>
      </rPr>
      <t xml:space="preserve">）に「見積は値引き行の削除と名称の修正を依頼中（総額は不変）」、スケジュール表に「最終版は申請前に取得する」とある。最終見積で値引行が無くなると、計画書の各単価・小計・値引の表記と添付見積書が一致しなくなる。応募時の必須添付書類（見積書）と計画書の不一致は審査でマイナス。</t>
    </r>
  </si>
  <si>
    <r>
      <rPr>
        <sz val="9"/>
        <rFont val="Noto Sans CJK SC"/>
        <family val="2"/>
      </rPr>
      <t xml:space="preserve">最終版見積を受領したら、（４）表・</t>
    </r>
    <r>
      <rPr>
        <sz val="9"/>
        <rFont val="Meiryo UI"/>
        <family val="0"/>
        <charset val="1"/>
      </rPr>
      <t xml:space="preserve">2</t>
    </r>
    <r>
      <rPr>
        <sz val="9"/>
        <rFont val="Noto Sans CJK SC"/>
        <family val="2"/>
      </rPr>
      <t xml:space="preserve">章②表・その３（別紙３）根拠の品名・数量・単価・金額を見積書と完全に一致させる（</t>
    </r>
    <r>
      <rPr>
        <sz val="9"/>
        <rFont val="Meiryo UI"/>
        <family val="0"/>
        <charset val="1"/>
      </rPr>
      <t xml:space="preserve">No.2</t>
    </r>
    <r>
      <rPr>
        <sz val="9"/>
        <rFont val="Noto Sans CJK SC"/>
        <family val="2"/>
      </rPr>
      <t xml:space="preserve">の対象外経費の分離もこの時に反映）。</t>
    </r>
  </si>
  <si>
    <r>
      <rPr>
        <sz val="9"/>
        <rFont val="Noto Sans CJK SC"/>
        <family val="2"/>
      </rPr>
      <t xml:space="preserve">必須</t>
    </r>
    <r>
      <rPr>
        <sz val="9"/>
        <rFont val="Meiryo UI"/>
        <family val="0"/>
        <charset val="1"/>
      </rPr>
      <t xml:space="preserve">7</t>
    </r>
  </si>
  <si>
    <r>
      <rPr>
        <sz val="9"/>
        <rFont val="Noto Sans CJK SC"/>
        <family val="2"/>
      </rPr>
      <t xml:space="preserve">図元データ </t>
    </r>
    <r>
      <rPr>
        <sz val="9"/>
        <rFont val="Meiryo UI"/>
        <family val="0"/>
        <charset val="1"/>
      </rPr>
      <t xml:space="preserve">pptx v3 p.9</t>
    </r>
    <r>
      <rPr>
        <sz val="9"/>
        <rFont val="Noto Sans CJK SC"/>
        <family val="2"/>
      </rPr>
      <t xml:space="preserve">／</t>
    </r>
    <r>
      <rPr>
        <sz val="9"/>
        <rFont val="Meiryo UI"/>
        <family val="0"/>
        <charset val="1"/>
      </rPr>
      <t xml:space="preserve">20261001</t>
    </r>
    <r>
      <rPr>
        <sz val="9"/>
        <rFont val="Noto Sans CJK SC"/>
        <family val="2"/>
      </rPr>
      <t xml:space="preserve">【更新版】スケジュール</t>
    </r>
  </si>
  <si>
    <t xml:space="preserve">説得力（算定根拠）</t>
  </si>
  <si>
    <r>
      <rPr>
        <sz val="9"/>
        <rFont val="Noto Sans CJK SC"/>
        <family val="2"/>
      </rPr>
      <t xml:space="preserve">その１その２：</t>
    </r>
    <r>
      <rPr>
        <sz val="9"/>
        <rFont val="Meiryo UI"/>
        <family val="0"/>
        <charset val="1"/>
      </rPr>
      <t xml:space="preserve">4</t>
    </r>
    <r>
      <rPr>
        <sz val="9"/>
        <rFont val="Noto Sans CJK SC"/>
        <family val="2"/>
      </rPr>
      <t xml:space="preserve">章【</t>
    </r>
    <r>
      <rPr>
        <sz val="9"/>
        <rFont val="Meiryo UI"/>
        <family val="0"/>
        <charset val="1"/>
      </rPr>
      <t xml:space="preserve">2</t>
    </r>
    <r>
      <rPr>
        <sz val="9"/>
        <rFont val="Noto Sans CJK SC"/>
        <family val="2"/>
      </rPr>
      <t xml:space="preserve">】売上原価、</t>
    </r>
    <r>
      <rPr>
        <sz val="9"/>
        <rFont val="Meiryo UI"/>
        <family val="0"/>
        <charset val="1"/>
      </rPr>
      <t xml:space="preserve">2-2③(2)
</t>
    </r>
    <r>
      <rPr>
        <sz val="9"/>
        <rFont val="Noto Sans CJK SC"/>
        <family val="2"/>
      </rPr>
      <t xml:space="preserve">その３：【算定根拠】①</t>
    </r>
    <r>
      <rPr>
        <sz val="9"/>
        <rFont val="Meiryo UI"/>
        <family val="0"/>
        <charset val="1"/>
      </rPr>
      <t xml:space="preserve">(2)</t>
    </r>
  </si>
  <si>
    <r>
      <rPr>
        <sz val="9"/>
        <rFont val="Noto Sans CJK SC"/>
        <family val="2"/>
      </rPr>
      <t xml:space="preserve">「原価率は…</t>
    </r>
    <r>
      <rPr>
        <sz val="9"/>
        <rFont val="Meiryo UI"/>
        <family val="0"/>
        <charset val="1"/>
      </rPr>
      <t xml:space="preserve">1</t>
    </r>
    <r>
      <rPr>
        <sz val="9"/>
        <rFont val="Noto Sans CJK SC"/>
        <family val="2"/>
      </rPr>
      <t xml:space="preserve">年目以降は年</t>
    </r>
    <r>
      <rPr>
        <sz val="9"/>
        <rFont val="Meiryo UI"/>
        <family val="0"/>
        <charset val="1"/>
      </rPr>
      <t xml:space="preserve">0.25pt</t>
    </r>
    <r>
      <rPr>
        <sz val="9"/>
        <rFont val="Noto Sans CJK SC"/>
        <family val="2"/>
      </rPr>
      <t xml:space="preserve">ずつ改善し、</t>
    </r>
    <r>
      <rPr>
        <sz val="9"/>
        <rFont val="Meiryo UI"/>
        <family val="0"/>
        <charset val="1"/>
      </rPr>
      <t xml:space="preserve">3</t>
    </r>
    <r>
      <rPr>
        <sz val="9"/>
        <rFont val="Noto Sans CJK SC"/>
        <family val="2"/>
      </rPr>
      <t xml:space="preserve">年目は</t>
    </r>
    <r>
      <rPr>
        <sz val="9"/>
        <rFont val="Meiryo UI"/>
        <family val="0"/>
        <charset val="1"/>
      </rPr>
      <t xml:space="preserve">89.75%</t>
    </r>
    <r>
      <rPr>
        <sz val="9"/>
        <rFont val="Noto Sans CJK SC"/>
        <family val="2"/>
      </rPr>
      <t xml:space="preserve">」
「原価内の人件費：賃上げで増える分も、売上原価の総額に含めて計算する。増加分は、</t>
    </r>
    <r>
      <rPr>
        <sz val="9"/>
        <rFont val="Meiryo UI"/>
        <family val="0"/>
        <charset val="1"/>
      </rPr>
      <t xml:space="preserve">ODM</t>
    </r>
    <r>
      <rPr>
        <sz val="9"/>
        <rFont val="Noto Sans CJK SC"/>
        <family val="2"/>
      </rPr>
      <t xml:space="preserve">比率の向上と価格転嫁による材料費等の比率の低下で吸収する前提」</t>
    </r>
  </si>
  <si>
    <r>
      <rPr>
        <sz val="9"/>
        <rFont val="Noto Sans CJK SC"/>
        <family val="2"/>
      </rPr>
      <t xml:space="preserve">原価率を売上比で固定するモデルのため、賃上げで増える原価内人件費は材料費等の比率の低下で吸収される前提になっている。試算すると、原価内の人件費・償却費を除いた材料費等の比率は基準年度</t>
    </r>
    <r>
      <rPr>
        <sz val="9"/>
        <rFont val="Meiryo UI"/>
        <family val="0"/>
        <charset val="1"/>
      </rPr>
      <t xml:space="preserve">81.38%→3</t>
    </r>
    <r>
      <rPr>
        <sz val="9"/>
        <rFont val="Noto Sans CJK SC"/>
        <family val="2"/>
      </rPr>
      <t xml:space="preserve">年目</t>
    </r>
    <r>
      <rPr>
        <sz val="9"/>
        <rFont val="Meiryo UI"/>
        <family val="0"/>
        <charset val="1"/>
      </rPr>
      <t xml:space="preserve">80.62%</t>
    </r>
    <r>
      <rPr>
        <sz val="9"/>
        <rFont val="Noto Sans CJK SC"/>
        <family val="2"/>
      </rPr>
      <t xml:space="preserve">（約</t>
    </r>
    <r>
      <rPr>
        <sz val="9"/>
        <rFont val="Meiryo UI"/>
        <family val="0"/>
        <charset val="1"/>
      </rPr>
      <t xml:space="preserve">0.8pt</t>
    </r>
    <r>
      <rPr>
        <sz val="9"/>
        <rFont val="Noto Sans CJK SC"/>
        <family val="2"/>
      </rPr>
      <t xml:space="preserve">）の改善が必要。
改善要因のうち省力化による労務費抑制（年約</t>
    </r>
    <r>
      <rPr>
        <sz val="9"/>
        <rFont val="Meiryo UI"/>
        <family val="0"/>
        <charset val="1"/>
      </rPr>
      <t xml:space="preserve">905</t>
    </r>
    <r>
      <rPr>
        <sz val="9"/>
        <rFont val="Noto Sans CJK SC"/>
        <family val="2"/>
      </rPr>
      <t xml:space="preserve">万円）は売上比</t>
    </r>
    <r>
      <rPr>
        <sz val="9"/>
        <rFont val="Meiryo UI"/>
        <family val="0"/>
        <charset val="1"/>
      </rPr>
      <t xml:space="preserve">0.07pt</t>
    </r>
    <r>
      <rPr>
        <sz val="9"/>
        <rFont val="Noto Sans CJK SC"/>
        <family val="2"/>
      </rPr>
      <t xml:space="preserve">程度で、大半は</t>
    </r>
    <r>
      <rPr>
        <sz val="9"/>
        <rFont val="Meiryo UI"/>
        <family val="0"/>
        <charset val="1"/>
      </rPr>
      <t xml:space="preserve">ODM</t>
    </r>
    <r>
      <rPr>
        <sz val="9"/>
        <rFont val="Noto Sans CJK SC"/>
        <family val="2"/>
      </rPr>
      <t xml:space="preserve">比率向上・価格転嫁による。しかし</t>
    </r>
    <r>
      <rPr>
        <sz val="9"/>
        <rFont val="Meiryo UI"/>
        <family val="0"/>
        <charset val="1"/>
      </rPr>
      <t xml:space="preserve">ODM</t>
    </r>
    <r>
      <rPr>
        <sz val="9"/>
        <rFont val="Noto Sans CJK SC"/>
        <family val="2"/>
      </rPr>
      <t xml:space="preserve">売上比率（現状○</t>
    </r>
    <r>
      <rPr>
        <sz val="9"/>
        <rFont val="Meiryo UI"/>
        <family val="0"/>
        <charset val="1"/>
      </rPr>
      <t xml:space="preserve">%→3</t>
    </r>
    <r>
      <rPr>
        <sz val="9"/>
        <rFont val="Noto Sans CJK SC"/>
        <family val="2"/>
      </rPr>
      <t xml:space="preserve">年目○</t>
    </r>
    <r>
      <rPr>
        <sz val="9"/>
        <rFont val="Meiryo UI"/>
        <family val="0"/>
        <charset val="1"/>
      </rPr>
      <t xml:space="preserve">%</t>
    </r>
    <r>
      <rPr>
        <sz val="9"/>
        <rFont val="Noto Sans CJK SC"/>
        <family val="2"/>
      </rPr>
      <t xml:space="preserve">）や転嫁率の数値がなく、付加価値額の伸び（年平均</t>
    </r>
    <r>
      <rPr>
        <sz val="9"/>
        <rFont val="Meiryo UI"/>
        <family val="0"/>
        <charset val="1"/>
      </rPr>
      <t xml:space="preserve">5.88%</t>
    </r>
    <r>
      <rPr>
        <sz val="9"/>
        <rFont val="Noto Sans CJK SC"/>
        <family val="2"/>
      </rPr>
      <t xml:space="preserve">）の根拠がトップダウンに見える（審査項目</t>
    </r>
    <r>
      <rPr>
        <sz val="9"/>
        <rFont val="Meiryo UI"/>
        <family val="0"/>
        <charset val="1"/>
      </rPr>
      <t xml:space="preserve">2-c</t>
    </r>
    <r>
      <rPr>
        <sz val="9"/>
        <rFont val="Noto Sans CJK SC"/>
        <family val="2"/>
      </rPr>
      <t xml:space="preserve">「売上増と原価削減効果を個別に数値化」）。労働生産性の余裕も小さく（</t>
    </r>
    <r>
      <rPr>
        <sz val="9"/>
        <rFont val="Meiryo UI"/>
        <family val="0"/>
        <charset val="1"/>
      </rPr>
      <t xml:space="preserve">3</t>
    </r>
    <r>
      <rPr>
        <sz val="9"/>
        <rFont val="Noto Sans CJK SC"/>
        <family val="2"/>
      </rPr>
      <t xml:space="preserve">年目</t>
    </r>
    <r>
      <rPr>
        <sz val="9"/>
        <rFont val="Meiryo UI"/>
        <family val="0"/>
        <charset val="1"/>
      </rPr>
      <t xml:space="preserve">4.06%</t>
    </r>
    <r>
      <rPr>
        <sz val="9"/>
        <rFont val="Noto Sans CJK SC"/>
        <family val="2"/>
      </rPr>
      <t xml:space="preserve">）、原価率改善が未達だと</t>
    </r>
    <r>
      <rPr>
        <sz val="9"/>
        <rFont val="Meiryo UI"/>
        <family val="0"/>
        <charset val="1"/>
      </rPr>
      <t xml:space="preserve">4%</t>
    </r>
    <r>
      <rPr>
        <sz val="9"/>
        <rFont val="Noto Sans CJK SC"/>
        <family val="2"/>
      </rPr>
      <t xml:space="preserve">を割る。</t>
    </r>
  </si>
  <si>
    <r>
      <rPr>
        <sz val="9"/>
        <rFont val="Noto Sans CJK SC"/>
        <family val="2"/>
      </rPr>
      <t xml:space="preserve">原価率改善（年</t>
    </r>
    <r>
      <rPr>
        <sz val="9"/>
        <rFont val="Meiryo UI"/>
        <family val="0"/>
        <charset val="1"/>
      </rPr>
      <t xml:space="preserve">0.25pt</t>
    </r>
    <r>
      <rPr>
        <sz val="9"/>
        <rFont val="Noto Sans CJK SC"/>
        <family val="2"/>
      </rPr>
      <t xml:space="preserve">）の内訳を簡単に定量化する。例：</t>
    </r>
    <r>
      <rPr>
        <sz val="9"/>
        <rFont val="Meiryo UI"/>
        <family val="0"/>
        <charset val="1"/>
      </rPr>
      <t xml:space="preserve">ODM</t>
    </r>
    <r>
      <rPr>
        <sz val="9"/>
        <rFont val="Noto Sans CJK SC"/>
        <family val="2"/>
      </rPr>
      <t xml:space="preserve">売上比率を○</t>
    </r>
    <r>
      <rPr>
        <sz val="9"/>
        <rFont val="Meiryo UI"/>
        <family val="0"/>
        <charset val="1"/>
      </rPr>
      <t xml:space="preserve">%→○%</t>
    </r>
    <r>
      <rPr>
        <sz val="9"/>
        <rFont val="Noto Sans CJK SC"/>
        <family val="2"/>
      </rPr>
      <t xml:space="preserve">に引上げ（粗利率の差：</t>
    </r>
    <r>
      <rPr>
        <sz val="9"/>
        <rFont val="Meiryo UI"/>
        <family val="0"/>
        <charset val="1"/>
      </rPr>
      <t xml:space="preserve">ODM</t>
    </r>
    <r>
      <rPr>
        <sz val="9"/>
        <rFont val="Noto Sans CJK SC"/>
        <family val="2"/>
      </rPr>
      <t xml:space="preserve">例</t>
    </r>
    <r>
      <rPr>
        <sz val="9"/>
        <rFont val="Meiryo UI"/>
        <family val="0"/>
        <charset val="1"/>
      </rPr>
      <t xml:space="preserve">21%</t>
    </r>
    <r>
      <rPr>
        <sz val="9"/>
        <rFont val="Noto Sans CJK SC"/>
        <family val="2"/>
      </rPr>
      <t xml:space="preserve">〔売価</t>
    </r>
    <r>
      <rPr>
        <sz val="9"/>
        <rFont val="Meiryo UI"/>
        <family val="0"/>
        <charset val="1"/>
      </rPr>
      <t xml:space="preserve">56</t>
    </r>
    <r>
      <rPr>
        <sz val="9"/>
        <rFont val="Noto Sans CJK SC"/>
        <family val="2"/>
      </rPr>
      <t xml:space="preserve">円・原価</t>
    </r>
    <r>
      <rPr>
        <sz val="9"/>
        <rFont val="Meiryo UI"/>
        <family val="0"/>
        <charset val="1"/>
      </rPr>
      <t xml:space="preserve">44</t>
    </r>
    <r>
      <rPr>
        <sz val="9"/>
        <rFont val="Noto Sans CJK SC"/>
        <family val="2"/>
      </rPr>
      <t xml:space="preserve">円〕、</t>
    </r>
    <r>
      <rPr>
        <sz val="9"/>
        <rFont val="Meiryo UI"/>
        <family val="0"/>
        <charset val="1"/>
      </rPr>
      <t xml:space="preserve">OEM</t>
    </r>
    <r>
      <rPr>
        <sz val="9"/>
        <rFont val="Noto Sans CJK SC"/>
        <family val="2"/>
      </rPr>
      <t xml:space="preserve">は帳簿上ほぼ</t>
    </r>
    <r>
      <rPr>
        <sz val="9"/>
        <rFont val="Meiryo UI"/>
        <family val="0"/>
        <charset val="1"/>
      </rPr>
      <t xml:space="preserve">0%</t>
    </r>
    <r>
      <rPr>
        <sz val="9"/>
        <rFont val="Noto Sans CJK SC"/>
        <family val="2"/>
      </rPr>
      <t xml:space="preserve">〔ヒアリング〕）で＋○</t>
    </r>
    <r>
      <rPr>
        <sz val="9"/>
        <rFont val="Meiryo UI"/>
        <family val="0"/>
        <charset val="1"/>
      </rPr>
      <t xml:space="preserve">pt</t>
    </r>
    <r>
      <rPr>
        <sz val="9"/>
        <rFont val="Noto Sans CJK SC"/>
        <family val="2"/>
      </rPr>
      <t xml:space="preserve">、価格転嫁で＋○</t>
    </r>
    <r>
      <rPr>
        <sz val="9"/>
        <rFont val="Meiryo UI"/>
        <family val="0"/>
        <charset val="1"/>
      </rPr>
      <t xml:space="preserve">pt</t>
    </r>
    <r>
      <rPr>
        <sz val="9"/>
        <rFont val="Noto Sans CJK SC"/>
        <family val="2"/>
      </rPr>
      <t xml:space="preserve">、省力化による労務費抑制＋</t>
    </r>
    <r>
      <rPr>
        <sz val="9"/>
        <rFont val="Meiryo UI"/>
        <family val="0"/>
        <charset val="1"/>
      </rPr>
      <t xml:space="preserve">0.07pt</t>
    </r>
    <r>
      <rPr>
        <sz val="9"/>
        <rFont val="Noto Sans CJK SC"/>
        <family val="2"/>
      </rPr>
      <t xml:space="preserve">、賃上げによる労務費率上昇−○</t>
    </r>
    <r>
      <rPr>
        <sz val="9"/>
        <rFont val="Meiryo UI"/>
        <family val="0"/>
        <charset val="1"/>
      </rPr>
      <t xml:space="preserve">pt</t>
    </r>
    <r>
      <rPr>
        <sz val="9"/>
        <rFont val="Noto Sans CJK SC"/>
        <family val="2"/>
      </rPr>
      <t xml:space="preserve">。</t>
    </r>
  </si>
  <si>
    <r>
      <rPr>
        <sz val="9"/>
        <rFont val="Meiryo UI"/>
        <family val="0"/>
        <charset val="1"/>
      </rPr>
      <t xml:space="preserve">2-c</t>
    </r>
    <r>
      <rPr>
        <sz val="9"/>
        <rFont val="Noto Sans CJK SC"/>
        <family val="2"/>
      </rPr>
      <t xml:space="preserve">、</t>
    </r>
    <r>
      <rPr>
        <sz val="9"/>
        <rFont val="Meiryo UI"/>
        <family val="0"/>
        <charset val="1"/>
      </rPr>
      <t xml:space="preserve">3-g</t>
    </r>
    <r>
      <rPr>
        <sz val="9"/>
        <rFont val="Noto Sans CJK SC"/>
        <family val="2"/>
      </rPr>
      <t xml:space="preserve">、必須</t>
    </r>
    <r>
      <rPr>
        <sz val="9"/>
        <rFont val="Meiryo UI"/>
        <family val="0"/>
        <charset val="1"/>
      </rPr>
      <t xml:space="preserve">2</t>
    </r>
  </si>
  <si>
    <r>
      <rPr>
        <sz val="9"/>
        <rFont val="Noto Sans CJK SC"/>
        <family val="2"/>
      </rPr>
      <t xml:space="preserve">参照用収支計画（原価内人件費</t>
    </r>
    <r>
      <rPr>
        <sz val="9"/>
        <rFont val="Meiryo UI"/>
        <family val="0"/>
        <charset val="1"/>
      </rPr>
      <t xml:space="preserve">733,251,723</t>
    </r>
    <r>
      <rPr>
        <sz val="9"/>
        <rFont val="Noto Sans CJK SC"/>
        <family val="2"/>
      </rPr>
      <t xml:space="preserve">円・原価内償却</t>
    </r>
    <r>
      <rPr>
        <sz val="9"/>
        <rFont val="Meiryo UI"/>
        <family val="0"/>
        <charset val="1"/>
      </rPr>
      <t xml:space="preserve">274,032,833</t>
    </r>
    <r>
      <rPr>
        <sz val="9"/>
        <rFont val="Noto Sans CJK SC"/>
        <family val="2"/>
      </rPr>
      <t xml:space="preserve">円）／数値照合シート</t>
    </r>
  </si>
  <si>
    <t xml:space="preserve">説得力（賃上げ）</t>
  </si>
  <si>
    <r>
      <rPr>
        <sz val="9"/>
        <rFont val="Meiryo UI"/>
        <family val="0"/>
        <charset val="1"/>
      </rPr>
      <t xml:space="preserve">3-1②</t>
    </r>
    <r>
      <rPr>
        <sz val="9"/>
        <rFont val="Noto Sans CJK SC"/>
        <family val="2"/>
      </rPr>
      <t xml:space="preserve">、</t>
    </r>
    <r>
      <rPr>
        <sz val="9"/>
        <rFont val="Meiryo UI"/>
        <family val="0"/>
        <charset val="1"/>
      </rPr>
      <t xml:space="preserve">2-2③(3)</t>
    </r>
    <r>
      <rPr>
        <sz val="9"/>
        <rFont val="Noto Sans CJK SC"/>
        <family val="2"/>
      </rPr>
      <t xml:space="preserve">、</t>
    </r>
    <r>
      <rPr>
        <sz val="9"/>
        <rFont val="Meiryo UI"/>
        <family val="0"/>
        <charset val="1"/>
      </rPr>
      <t xml:space="preserve">1-1 T2</t>
    </r>
  </si>
  <si>
    <r>
      <rPr>
        <sz val="9"/>
        <rFont val="Noto Sans CJK SC"/>
        <family val="2"/>
      </rPr>
      <t xml:space="preserve">「基準年度以降は毎年</t>
    </r>
    <r>
      <rPr>
        <sz val="9"/>
        <rFont val="Meiryo UI"/>
        <family val="0"/>
        <charset val="1"/>
      </rPr>
      <t xml:space="preserve">3.5%</t>
    </r>
    <r>
      <rPr>
        <sz val="9"/>
        <rFont val="Noto Sans CJK SC"/>
        <family val="2"/>
      </rPr>
      <t xml:space="preserve">を上回る水準で引き上げ…年平均</t>
    </r>
    <r>
      <rPr>
        <sz val="9"/>
        <rFont val="Meiryo UI"/>
        <family val="0"/>
        <charset val="1"/>
      </rPr>
      <t xml:space="preserve">3.52%</t>
    </r>
    <r>
      <rPr>
        <sz val="9"/>
        <rFont val="Noto Sans CJK SC"/>
        <family val="2"/>
      </rPr>
      <t xml:space="preserve">」
「新卒採用者の給与は平均を下回るため、既存従業員の賃上げは</t>
    </r>
    <r>
      <rPr>
        <sz val="9"/>
        <rFont val="Meiryo UI"/>
        <family val="0"/>
        <charset val="1"/>
      </rPr>
      <t xml:space="preserve">3.5%</t>
    </r>
    <r>
      <rPr>
        <sz val="9"/>
        <rFont val="Noto Sans CJK SC"/>
        <family val="2"/>
      </rPr>
      <t xml:space="preserve">を上回る水準で運用する」</t>
    </r>
  </si>
  <si>
    <r>
      <rPr>
        <sz val="9"/>
        <rFont val="Noto Sans CJK SC"/>
        <family val="2"/>
      </rPr>
      <t xml:space="preserve">目標</t>
    </r>
    <r>
      <rPr>
        <sz val="9"/>
        <rFont val="Meiryo UI"/>
        <family val="0"/>
        <charset val="1"/>
      </rPr>
      <t xml:space="preserve">3.52%</t>
    </r>
    <r>
      <rPr>
        <sz val="9"/>
        <rFont val="Noto Sans CJK SC"/>
        <family val="2"/>
      </rPr>
      <t xml:space="preserve">は基本要件</t>
    </r>
    <r>
      <rPr>
        <sz val="9"/>
        <rFont val="Meiryo UI"/>
        <family val="0"/>
        <charset val="1"/>
      </rPr>
      <t xml:space="preserve">3.5%</t>
    </r>
    <r>
      <rPr>
        <sz val="9"/>
        <rFont val="Noto Sans CJK SC"/>
        <family val="2"/>
      </rPr>
      <t xml:space="preserve">とほぼ同水準。審査項目</t>
    </r>
    <r>
      <rPr>
        <sz val="9"/>
        <rFont val="Meiryo UI"/>
        <family val="0"/>
        <charset val="1"/>
      </rPr>
      <t xml:space="preserve">3-e</t>
    </r>
    <r>
      <rPr>
        <sz val="9"/>
        <rFont val="Noto Sans CJK SC"/>
        <family val="2"/>
      </rPr>
      <t xml:space="preserve">は「高い賃上げ目標」を評価し、採択事例は都道府県の最低賃金上昇率との比較や既存従業員の昇給率を示している。一方、本計画自身が</t>
    </r>
    <r>
      <rPr>
        <sz val="9"/>
        <rFont val="Meiryo UI"/>
        <family val="0"/>
        <charset val="1"/>
      </rPr>
      <t xml:space="preserve">T2</t>
    </r>
    <r>
      <rPr>
        <sz val="9"/>
        <rFont val="Noto Sans CJK SC"/>
        <family val="2"/>
      </rPr>
      <t xml:space="preserve">で富山県最低賃金の上昇（</t>
    </r>
    <r>
      <rPr>
        <sz val="9"/>
        <rFont val="Meiryo UI"/>
        <family val="0"/>
        <charset val="1"/>
      </rPr>
      <t xml:space="preserve">5</t>
    </r>
    <r>
      <rPr>
        <sz val="9"/>
        <rFont val="Noto Sans CJK SC"/>
        <family val="2"/>
      </rPr>
      <t xml:space="preserve">年で</t>
    </r>
    <r>
      <rPr>
        <sz val="9"/>
        <rFont val="Meiryo UI"/>
        <family val="0"/>
        <charset val="1"/>
      </rPr>
      <t xml:space="preserve">+27.6%</t>
    </r>
    <r>
      <rPr>
        <sz val="9"/>
        <rFont val="Noto Sans CJK SC"/>
        <family val="2"/>
      </rPr>
      <t xml:space="preserve">＝年平均約</t>
    </r>
    <r>
      <rPr>
        <sz val="9"/>
        <rFont val="Meiryo UI"/>
        <family val="0"/>
        <charset val="1"/>
      </rPr>
      <t xml:space="preserve">5.0%</t>
    </r>
    <r>
      <rPr>
        <sz val="9"/>
        <rFont val="Noto Sans CJK SC"/>
        <family val="2"/>
      </rPr>
      <t xml:space="preserve">）を挙げており、並べると見劣りする。既存従業員の具体的な昇給水準も示されていない。</t>
    </r>
  </si>
  <si>
    <r>
      <rPr>
        <sz val="9"/>
        <rFont val="Noto Sans CJK SC"/>
        <family val="2"/>
      </rPr>
      <t xml:space="preserve">①既存従業員の想定昇給率（例：年</t>
    </r>
    <r>
      <rPr>
        <sz val="9"/>
        <rFont val="Meiryo UI"/>
        <family val="0"/>
        <charset val="1"/>
      </rPr>
      <t xml:space="preserve">4%</t>
    </r>
    <r>
      <rPr>
        <sz val="9"/>
        <rFont val="Noto Sans CJK SC"/>
        <family val="2"/>
      </rPr>
      <t xml:space="preserve">程度）と、新卒入社による平均の引下げ効果を数値で示す。
②パート時給は県最低賃金の改定（年約</t>
    </r>
    <r>
      <rPr>
        <sz val="9"/>
        <rFont val="Meiryo UI"/>
        <family val="0"/>
        <charset val="1"/>
      </rPr>
      <t xml:space="preserve">5%</t>
    </r>
    <r>
      <rPr>
        <sz val="9"/>
        <rFont val="Noto Sans CJK SC"/>
        <family val="2"/>
      </rPr>
      <t xml:space="preserve">）に連動して引き上げる方針を明記する。
③可能であれば</t>
    </r>
    <r>
      <rPr>
        <sz val="9"/>
        <rFont val="Meiryo UI"/>
        <family val="0"/>
        <charset val="1"/>
      </rPr>
      <t xml:space="preserve">2026</t>
    </r>
    <r>
      <rPr>
        <sz val="9"/>
        <rFont val="Noto Sans CJK SC"/>
        <family val="2"/>
      </rPr>
      <t xml:space="preserve">年</t>
    </r>
    <r>
      <rPr>
        <sz val="9"/>
        <rFont val="Meiryo UI"/>
        <family val="0"/>
        <charset val="1"/>
      </rPr>
      <t xml:space="preserve">4</t>
    </r>
    <r>
      <rPr>
        <sz val="9"/>
        <rFont val="Noto Sans CJK SC"/>
        <family val="2"/>
      </rPr>
      <t xml:space="preserve">月の実績（約</t>
    </r>
    <r>
      <rPr>
        <sz val="9"/>
        <rFont val="Meiryo UI"/>
        <family val="0"/>
        <charset val="1"/>
      </rPr>
      <t xml:space="preserve">5%</t>
    </r>
    <r>
      <rPr>
        <sz val="9"/>
        <rFont val="Noto Sans CJK SC"/>
        <family val="2"/>
      </rPr>
      <t xml:space="preserve">）を足下に反映する（</t>
    </r>
    <r>
      <rPr>
        <sz val="9"/>
        <rFont val="Meiryo UI"/>
        <family val="0"/>
        <charset val="1"/>
      </rPr>
      <t xml:space="preserve">No.7</t>
    </r>
    <r>
      <rPr>
        <sz val="9"/>
        <rFont val="Noto Sans CJK SC"/>
        <family val="2"/>
      </rPr>
      <t xml:space="preserve">）。</t>
    </r>
  </si>
  <si>
    <r>
      <rPr>
        <sz val="9"/>
        <rFont val="Meiryo UI"/>
        <family val="0"/>
        <charset val="1"/>
      </rPr>
      <t xml:space="preserve">3-e</t>
    </r>
    <r>
      <rPr>
        <sz val="9"/>
        <rFont val="Noto Sans CJK SC"/>
        <family val="2"/>
      </rPr>
      <t xml:space="preserve">、必須</t>
    </r>
    <r>
      <rPr>
        <sz val="9"/>
        <rFont val="Meiryo UI"/>
        <family val="0"/>
        <charset val="1"/>
      </rPr>
      <t xml:space="preserve">3</t>
    </r>
  </si>
  <si>
    <r>
      <rPr>
        <sz val="9"/>
        <rFont val="Noto Sans CJK SC"/>
        <family val="2"/>
      </rPr>
      <t xml:space="preserve">審査項目分析表</t>
    </r>
    <r>
      <rPr>
        <sz val="9"/>
        <rFont val="Meiryo UI"/>
        <family val="0"/>
        <charset val="1"/>
      </rPr>
      <t xml:space="preserve">3-e</t>
    </r>
    <r>
      <rPr>
        <sz val="9"/>
        <rFont val="Noto Sans CJK SC"/>
        <family val="2"/>
      </rPr>
      <t xml:space="preserve">／公募要領</t>
    </r>
    <r>
      <rPr>
        <sz val="9"/>
        <rFont val="Meiryo UI"/>
        <family val="0"/>
        <charset val="1"/>
      </rPr>
      <t xml:space="preserve">5-1(3)</t>
    </r>
  </si>
  <si>
    <r>
      <rPr>
        <sz val="9"/>
        <rFont val="Noto Sans CJK SC"/>
        <family val="2"/>
      </rPr>
      <t xml:space="preserve">整合（</t>
    </r>
    <r>
      <rPr>
        <sz val="9"/>
        <rFont val="Meiryo UI"/>
        <family val="0"/>
        <charset val="1"/>
      </rPr>
      <t xml:space="preserve">KPI</t>
    </r>
    <r>
      <rPr>
        <sz val="9"/>
        <rFont val="Noto Sans CJK SC"/>
        <family val="2"/>
      </rPr>
      <t xml:space="preserve">）</t>
    </r>
  </si>
  <si>
    <t xml:space="preserve">その１その２／スケジュール</t>
  </si>
  <si>
    <r>
      <rPr>
        <sz val="9"/>
        <rFont val="Meiryo UI"/>
        <family val="0"/>
        <charset val="1"/>
      </rPr>
      <t xml:space="preserve">3</t>
    </r>
    <r>
      <rPr>
        <sz val="9"/>
        <rFont val="Noto Sans CJK SC"/>
        <family val="2"/>
      </rPr>
      <t xml:space="preserve">章①</t>
    </r>
    <r>
      <rPr>
        <sz val="9"/>
        <rFont val="Meiryo UI"/>
        <family val="0"/>
        <charset val="1"/>
      </rPr>
      <t xml:space="preserve">KPI</t>
    </r>
    <r>
      <rPr>
        <sz val="9"/>
        <rFont val="Noto Sans CJK SC"/>
        <family val="2"/>
      </rPr>
      <t xml:space="preserve">表、</t>
    </r>
    <r>
      <rPr>
        <sz val="9"/>
        <rFont val="Meiryo UI"/>
        <family val="0"/>
        <charset val="1"/>
      </rPr>
      <t xml:space="preserve">5</t>
    </r>
    <r>
      <rPr>
        <sz val="9"/>
        <rFont val="Noto Sans CJK SC"/>
        <family val="2"/>
      </rPr>
      <t xml:space="preserve">章③「４．効果検証・付加価値創出」、スケジュール表「４．効果検証」</t>
    </r>
  </si>
  <si>
    <r>
      <rPr>
        <sz val="9"/>
        <rFont val="Meiryo UI"/>
        <family val="0"/>
        <charset val="1"/>
      </rPr>
      <t xml:space="preserve">5</t>
    </r>
    <r>
      <rPr>
        <sz val="9"/>
        <rFont val="Noto Sans CJK SC"/>
        <family val="2"/>
      </rPr>
      <t xml:space="preserve">章③「</t>
    </r>
    <r>
      <rPr>
        <sz val="9"/>
        <rFont val="Meiryo UI"/>
        <family val="0"/>
        <charset val="1"/>
      </rPr>
      <t xml:space="preserve">KPI</t>
    </r>
    <r>
      <rPr>
        <sz val="9"/>
        <rFont val="Noto Sans CJK SC"/>
        <family val="2"/>
      </rPr>
      <t xml:space="preserve">（創出時間、遅番の派遣依頼・カバー出勤の件数、多能工化の習熟者数、</t>
    </r>
    <r>
      <rPr>
        <sz val="9"/>
        <rFont val="Meiryo UI"/>
        <family val="0"/>
        <charset val="1"/>
      </rPr>
      <t xml:space="preserve">ODM</t>
    </r>
    <r>
      <rPr>
        <sz val="9"/>
        <rFont val="Noto Sans CJK SC"/>
        <family val="2"/>
      </rPr>
      <t xml:space="preserve">試作件数）」
</t>
    </r>
    <r>
      <rPr>
        <sz val="9"/>
        <rFont val="Meiryo UI"/>
        <family val="0"/>
        <charset val="1"/>
      </rPr>
      <t xml:space="preserve">3</t>
    </r>
    <r>
      <rPr>
        <sz val="9"/>
        <rFont val="Noto Sans CJK SC"/>
        <family val="2"/>
      </rPr>
      <t xml:space="preserve">章</t>
    </r>
    <r>
      <rPr>
        <sz val="9"/>
        <rFont val="Meiryo UI"/>
        <family val="0"/>
        <charset val="1"/>
      </rPr>
      <t xml:space="preserve">KPI</t>
    </r>
    <r>
      <rPr>
        <sz val="9"/>
        <rFont val="Noto Sans CJK SC"/>
        <family val="2"/>
      </rPr>
      <t xml:space="preserve">表「習熟者</t>
    </r>
    <r>
      <rPr>
        <sz val="9"/>
        <rFont val="Meiryo UI"/>
        <family val="0"/>
        <charset val="1"/>
      </rPr>
      <t xml:space="preserve">3</t>
    </r>
    <r>
      <rPr>
        <sz val="9"/>
        <rFont val="Noto Sans CJK SC"/>
        <family val="2"/>
      </rPr>
      <t xml:space="preserve">名、遅番の担当日数</t>
    </r>
    <r>
      <rPr>
        <sz val="9"/>
        <rFont val="Meiryo UI"/>
        <family val="0"/>
        <charset val="1"/>
      </rPr>
      <t xml:space="preserve">8</t>
    </r>
    <r>
      <rPr>
        <sz val="9"/>
        <rFont val="Noto Sans CJK SC"/>
        <family val="2"/>
      </rPr>
      <t xml:space="preserve">日／月、工程内検査</t>
    </r>
    <r>
      <rPr>
        <sz val="9"/>
        <rFont val="Meiryo UI"/>
        <family val="0"/>
        <charset val="1"/>
      </rPr>
      <t xml:space="preserve">160</t>
    </r>
    <r>
      <rPr>
        <sz val="9"/>
        <rFont val="Noto Sans CJK SC"/>
        <family val="2"/>
      </rPr>
      <t xml:space="preserve">件／月、</t>
    </r>
    <r>
      <rPr>
        <sz val="9"/>
        <rFont val="Meiryo UI"/>
        <family val="0"/>
        <charset val="1"/>
      </rPr>
      <t xml:space="preserve">ODM</t>
    </r>
    <r>
      <rPr>
        <sz val="9"/>
        <rFont val="Noto Sans CJK SC"/>
        <family val="2"/>
      </rPr>
      <t xml:space="preserve">試作・提案</t>
    </r>
    <r>
      <rPr>
        <sz val="9"/>
        <rFont val="Meiryo UI"/>
        <family val="0"/>
        <charset val="1"/>
      </rPr>
      <t xml:space="preserve">10</t>
    </r>
    <r>
      <rPr>
        <sz val="9"/>
        <rFont val="Noto Sans CJK SC"/>
        <family val="2"/>
      </rPr>
      <t xml:space="preserve">件／年、マニュアル整備</t>
    </r>
    <r>
      <rPr>
        <sz val="9"/>
        <rFont val="Meiryo UI"/>
        <family val="0"/>
        <charset val="1"/>
      </rPr>
      <t xml:space="preserve">10</t>
    </r>
    <r>
      <rPr>
        <sz val="9"/>
        <rFont val="Noto Sans CJK SC"/>
        <family val="2"/>
      </rPr>
      <t xml:space="preserve">件</t>
    </r>
    <r>
      <rPr>
        <sz val="9"/>
        <rFont val="Meiryo UI"/>
        <family val="0"/>
        <charset val="1"/>
      </rPr>
      <t xml:space="preserve">/</t>
    </r>
    <r>
      <rPr>
        <sz val="9"/>
        <rFont val="Noto Sans CJK SC"/>
        <family val="2"/>
      </rPr>
      <t xml:space="preserve">年」</t>
    </r>
  </si>
  <si>
    <r>
      <rPr>
        <sz val="9"/>
        <rFont val="Meiryo UI"/>
        <family val="0"/>
        <charset val="1"/>
      </rPr>
      <t xml:space="preserve">5</t>
    </r>
    <r>
      <rPr>
        <sz val="9"/>
        <rFont val="Noto Sans CJK SC"/>
        <family val="2"/>
      </rPr>
      <t xml:space="preserve">章③・スケジュールの</t>
    </r>
    <r>
      <rPr>
        <sz val="9"/>
        <rFont val="Meiryo UI"/>
        <family val="0"/>
        <charset val="1"/>
      </rPr>
      <t xml:space="preserve">KPI</t>
    </r>
    <r>
      <rPr>
        <sz val="9"/>
        <rFont val="Noto Sans CJK SC"/>
        <family val="2"/>
      </rPr>
      <t xml:space="preserve">と</t>
    </r>
    <r>
      <rPr>
        <sz val="9"/>
        <rFont val="Meiryo UI"/>
        <family val="0"/>
        <charset val="1"/>
      </rPr>
      <t xml:space="preserve">3</t>
    </r>
    <r>
      <rPr>
        <sz val="9"/>
        <rFont val="Noto Sans CJK SC"/>
        <family val="2"/>
      </rPr>
      <t xml:space="preserve">章の</t>
    </r>
    <r>
      <rPr>
        <sz val="9"/>
        <rFont val="Meiryo UI"/>
        <family val="0"/>
        <charset val="1"/>
      </rPr>
      <t xml:space="preserve">KPI</t>
    </r>
    <r>
      <rPr>
        <sz val="9"/>
        <rFont val="Noto Sans CJK SC"/>
        <family val="2"/>
      </rPr>
      <t xml:space="preserve">表が一致しない（</t>
    </r>
    <r>
      <rPr>
        <sz val="9"/>
        <rFont val="Meiryo UI"/>
        <family val="0"/>
        <charset val="1"/>
      </rPr>
      <t xml:space="preserve">5</t>
    </r>
    <r>
      <rPr>
        <sz val="9"/>
        <rFont val="Noto Sans CJK SC"/>
        <family val="2"/>
      </rPr>
      <t xml:space="preserve">章に工程内検査件数・マニュアル件数がなく、</t>
    </r>
    <r>
      <rPr>
        <sz val="9"/>
        <rFont val="Meiryo UI"/>
        <family val="0"/>
        <charset val="1"/>
      </rPr>
      <t xml:space="preserve">3</t>
    </r>
    <r>
      <rPr>
        <sz val="9"/>
        <rFont val="Noto Sans CJK SC"/>
        <family val="2"/>
      </rPr>
      <t xml:space="preserve">章に創出時間・カバー出勤件数がない）。</t>
    </r>
  </si>
  <si>
    <r>
      <rPr>
        <sz val="9"/>
        <rFont val="Meiryo UI"/>
        <family val="0"/>
        <charset val="1"/>
      </rPr>
      <t xml:space="preserve">3</t>
    </r>
    <r>
      <rPr>
        <sz val="9"/>
        <rFont val="Noto Sans CJK SC"/>
        <family val="2"/>
      </rPr>
      <t xml:space="preserve">章</t>
    </r>
    <r>
      <rPr>
        <sz val="9"/>
        <rFont val="Meiryo UI"/>
        <family val="0"/>
        <charset val="1"/>
      </rPr>
      <t xml:space="preserve">KPI</t>
    </r>
    <r>
      <rPr>
        <sz val="9"/>
        <rFont val="Noto Sans CJK SC"/>
        <family val="2"/>
      </rPr>
      <t xml:space="preserve">表の下に「共通</t>
    </r>
    <r>
      <rPr>
        <sz val="9"/>
        <rFont val="Meiryo UI"/>
        <family val="0"/>
        <charset val="1"/>
      </rPr>
      <t xml:space="preserve">KPI</t>
    </r>
    <r>
      <rPr>
        <sz val="9"/>
        <rFont val="Noto Sans CJK SC"/>
        <family val="2"/>
      </rPr>
      <t xml:space="preserve">：創出時間</t>
    </r>
    <r>
      <rPr>
        <sz val="9"/>
        <rFont val="Meiryo UI"/>
        <family val="0"/>
        <charset val="1"/>
      </rPr>
      <t xml:space="preserve">799</t>
    </r>
    <r>
      <rPr>
        <sz val="9"/>
        <rFont val="Noto Sans CJK SC"/>
        <family val="2"/>
      </rPr>
      <t xml:space="preserve">分／日、遅番のカバー出勤</t>
    </r>
    <r>
      <rPr>
        <sz val="9"/>
        <rFont val="Meiryo UI"/>
        <family val="0"/>
        <charset val="1"/>
      </rPr>
      <t xml:space="preserve">0</t>
    </r>
    <r>
      <rPr>
        <sz val="9"/>
        <rFont val="Noto Sans CJK SC"/>
        <family val="2"/>
      </rPr>
      <t xml:space="preserve">件／月（導入時点から）」を追加し、</t>
    </r>
    <r>
      <rPr>
        <sz val="9"/>
        <rFont val="Meiryo UI"/>
        <family val="0"/>
        <charset val="1"/>
      </rPr>
      <t xml:space="preserve">5</t>
    </r>
    <r>
      <rPr>
        <sz val="9"/>
        <rFont val="Noto Sans CJK SC"/>
        <family val="2"/>
      </rPr>
      <t xml:space="preserve">章③・スケジュールの</t>
    </r>
    <r>
      <rPr>
        <sz val="9"/>
        <rFont val="Meiryo UI"/>
        <family val="0"/>
        <charset val="1"/>
      </rPr>
      <t xml:space="preserve">KPI</t>
    </r>
    <r>
      <rPr>
        <sz val="9"/>
        <rFont val="Noto Sans CJK SC"/>
        <family val="2"/>
      </rPr>
      <t xml:space="preserve">を</t>
    </r>
    <r>
      <rPr>
        <sz val="9"/>
        <rFont val="Meiryo UI"/>
        <family val="0"/>
        <charset val="1"/>
      </rPr>
      <t xml:space="preserve">3</t>
    </r>
    <r>
      <rPr>
        <sz val="9"/>
        <rFont val="Noto Sans CJK SC"/>
        <family val="2"/>
      </rPr>
      <t xml:space="preserve">章と同じ項目に揃える。</t>
    </r>
  </si>
  <si>
    <r>
      <rPr>
        <sz val="9"/>
        <rFont val="Meiryo UI"/>
        <family val="0"/>
        <charset val="1"/>
      </rPr>
      <t xml:space="preserve">3-f</t>
    </r>
    <r>
      <rPr>
        <sz val="9"/>
        <rFont val="Noto Sans CJK SC"/>
        <family val="2"/>
      </rPr>
      <t xml:space="preserve">、</t>
    </r>
    <r>
      <rPr>
        <sz val="9"/>
        <rFont val="Meiryo UI"/>
        <family val="0"/>
        <charset val="1"/>
      </rPr>
      <t xml:space="preserve">3-b</t>
    </r>
  </si>
  <si>
    <t xml:space="preserve">整合（本文と図）</t>
  </si>
  <si>
    <t xml:space="preserve">図（シフト別の人の配置）</t>
  </si>
  <si>
    <r>
      <rPr>
        <sz val="9"/>
        <rFont val="Meiryo UI"/>
        <family val="0"/>
        <charset val="1"/>
      </rPr>
      <t xml:space="preserve">2-1③</t>
    </r>
    <r>
      <rPr>
        <sz val="9"/>
        <rFont val="Noto Sans CJK SC"/>
        <family val="2"/>
      </rPr>
      <t xml:space="preserve">の図「シフト別の人の配置と作業時間の変化」遅番（夜勤）の現状の担当</t>
    </r>
  </si>
  <si>
    <r>
      <rPr>
        <sz val="9"/>
        <rFont val="Noto Sans CJK SC"/>
        <family val="2"/>
      </rPr>
      <t xml:space="preserve">図：「派遣</t>
    </r>
    <r>
      <rPr>
        <sz val="9"/>
        <rFont val="Meiryo UI"/>
        <family val="0"/>
        <charset val="1"/>
      </rPr>
      <t xml:space="preserve">1</t>
    </r>
    <r>
      <rPr>
        <sz val="9"/>
        <rFont val="Noto Sans CJK SC"/>
        <family val="2"/>
      </rPr>
      <t xml:space="preserve">名（社員がカバーも）」
本文：「派遣を確保できず、日勤社員のカバー出勤が常態化」</t>
    </r>
  </si>
  <si>
    <r>
      <rPr>
        <sz val="9"/>
        <rFont val="Noto Sans CJK SC"/>
        <family val="2"/>
      </rPr>
      <t xml:space="preserve">図は派遣が通常配置されているように読め、本文（</t>
    </r>
    <r>
      <rPr>
        <sz val="9"/>
        <rFont val="Meiryo UI"/>
        <family val="0"/>
        <charset val="1"/>
      </rPr>
      <t xml:space="preserve">W3</t>
    </r>
    <r>
      <rPr>
        <sz val="9"/>
        <rFont val="Noto Sans CJK SC"/>
        <family val="2"/>
      </rPr>
      <t xml:space="preserve">、</t>
    </r>
    <r>
      <rPr>
        <sz val="9"/>
        <rFont val="Meiryo UI"/>
        <family val="0"/>
        <charset val="1"/>
      </rPr>
      <t xml:space="preserve">1-2</t>
    </r>
    <r>
      <rPr>
        <sz val="9"/>
        <rFont val="Noto Sans CJK SC"/>
        <family val="2"/>
      </rPr>
      <t xml:space="preserve">課題②、</t>
    </r>
    <r>
      <rPr>
        <sz val="9"/>
        <rFont val="Meiryo UI"/>
        <family val="0"/>
        <charset val="1"/>
      </rPr>
      <t xml:space="preserve">2-1③</t>
    </r>
    <r>
      <rPr>
        <sz val="9"/>
        <rFont val="Noto Sans CJK SC"/>
        <family val="2"/>
      </rPr>
      <t xml:space="preserve">）と表現が一致しない（ヒアリングでは、派遣が来る日もあるが賄いきれていない状態）。</t>
    </r>
  </si>
  <si>
    <t xml:space="preserve">図を「派遣想定（確保できない日は日勤社員がカバー、常態化）」に修正するか、本文を「派遣で賄いきれず」に揃える。</t>
  </si>
  <si>
    <r>
      <rPr>
        <sz val="9"/>
        <rFont val="Noto Sans CJK SC"/>
        <family val="2"/>
      </rPr>
      <t xml:space="preserve">図元データ </t>
    </r>
    <r>
      <rPr>
        <sz val="9"/>
        <rFont val="Meiryo UI"/>
        <family val="0"/>
        <charset val="1"/>
      </rPr>
      <t xml:space="preserve">pptx v3 p.8</t>
    </r>
    <r>
      <rPr>
        <sz val="9"/>
        <rFont val="Noto Sans CJK SC"/>
        <family val="2"/>
      </rPr>
      <t xml:space="preserve">／ヒアリングリスト</t>
    </r>
    <r>
      <rPr>
        <sz val="9"/>
        <rFont val="Meiryo UI"/>
        <family val="0"/>
        <charset val="1"/>
      </rPr>
      <t xml:space="preserve">v5</t>
    </r>
  </si>
  <si>
    <t xml:space="preserve">説得力（体制）</t>
  </si>
  <si>
    <r>
      <rPr>
        <sz val="9"/>
        <rFont val="Meiryo UI"/>
        <family val="0"/>
        <charset val="1"/>
      </rPr>
      <t xml:space="preserve">5</t>
    </r>
    <r>
      <rPr>
        <sz val="9"/>
        <rFont val="Noto Sans CJK SC"/>
        <family val="2"/>
      </rPr>
      <t xml:space="preserve">章①社内の実施体制（体制表）、</t>
    </r>
    <r>
      <rPr>
        <sz val="9"/>
        <rFont val="Meiryo UI"/>
        <family val="0"/>
        <charset val="1"/>
      </rPr>
      <t xml:space="preserve">3-1②</t>
    </r>
    <r>
      <rPr>
        <sz val="9"/>
        <rFont val="Noto Sans CJK SC"/>
        <family val="2"/>
      </rPr>
      <t xml:space="preserve">、</t>
    </r>
    <r>
      <rPr>
        <sz val="9"/>
        <rFont val="Meiryo UI"/>
        <family val="0"/>
        <charset val="1"/>
      </rPr>
      <t xml:space="preserve">5</t>
    </r>
    <r>
      <rPr>
        <sz val="9"/>
        <rFont val="Noto Sans CJK SC"/>
        <family val="2"/>
      </rPr>
      <t xml:space="preserve">章③「５．賃上げ」</t>
    </r>
  </si>
  <si>
    <t xml:space="preserve">「統括責任者：投資の意思決定、補助金事務局・フジシールとの対外折衝、賃上げ計画の従業員への表明、事業全体の進捗統括」</t>
  </si>
  <si>
    <t xml:space="preserve">体制表に代表取締役社長（翠田圭吾）が登場せず、賃上げ計画の表明も統括責任者の役割になっている。参考ガイドは「経営者自ら先頭に立って事業実施を牽引できますか」を確認観点に挙げており、賃金引き上げ計画の表明書は代表者名で提出する。本計画は新社長の「さらなる挑戦と成長」の第一歩と位置付けているので、社長の役割がないのは惜しい。</t>
  </si>
  <si>
    <t xml:space="preserve">体制表の最上位に「代表取締役社長 翠田圭吾：事業責任者（投資の最終決定、賃上げ計画の表明、月次報告の受領）」を追加し、賃上げ計画の表明は社長が行う形に修正する（統括責任者は実務の統括）。</t>
  </si>
  <si>
    <r>
      <rPr>
        <sz val="9"/>
        <rFont val="Meiryo UI"/>
        <family val="0"/>
        <charset val="1"/>
      </rPr>
      <t xml:space="preserve">3-c</t>
    </r>
    <r>
      <rPr>
        <sz val="9"/>
        <rFont val="Noto Sans CJK SC"/>
        <family val="2"/>
      </rPr>
      <t xml:space="preserve">、</t>
    </r>
    <r>
      <rPr>
        <sz val="9"/>
        <rFont val="Meiryo UI"/>
        <family val="0"/>
        <charset val="1"/>
      </rPr>
      <t xml:space="preserve">3-e</t>
    </r>
    <r>
      <rPr>
        <sz val="9"/>
        <rFont val="Noto Sans CJK SC"/>
        <family val="2"/>
      </rPr>
      <t xml:space="preserve">、</t>
    </r>
    <r>
      <rPr>
        <sz val="9"/>
        <rFont val="Meiryo UI"/>
        <family val="0"/>
        <charset val="1"/>
      </rPr>
      <t xml:space="preserve">4-b</t>
    </r>
  </si>
  <si>
    <r>
      <rPr>
        <sz val="9"/>
        <rFont val="Noto Sans CJK SC"/>
        <family val="2"/>
      </rPr>
      <t xml:space="preserve">事業計画書作成の参考ガイド「</t>
    </r>
    <r>
      <rPr>
        <sz val="9"/>
        <rFont val="Meiryo UI"/>
        <family val="0"/>
        <charset val="1"/>
      </rPr>
      <t xml:space="preserve">5.</t>
    </r>
    <r>
      <rPr>
        <sz val="9"/>
        <rFont val="Noto Sans CJK SC"/>
        <family val="2"/>
      </rPr>
      <t xml:space="preserve">事業の実施体制とスケジュール」</t>
    </r>
  </si>
  <si>
    <t xml:space="preserve">加点の機会</t>
  </si>
  <si>
    <r>
      <rPr>
        <sz val="9"/>
        <rFont val="Meiryo UI"/>
        <family val="0"/>
        <charset val="1"/>
      </rPr>
      <t xml:space="preserve">6</t>
    </r>
    <r>
      <rPr>
        <sz val="9"/>
        <rFont val="Noto Sans CJK SC"/>
        <family val="2"/>
      </rPr>
      <t xml:space="preserve">章②事業承継を契機とした取組</t>
    </r>
  </si>
  <si>
    <r>
      <rPr>
        <sz val="9"/>
        <rFont val="Noto Sans CJK SC"/>
        <family val="2"/>
      </rPr>
      <t xml:space="preserve">「</t>
    </r>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月に代表取締役社長に就任した翠田圭吾は、翠田章男（現 代表取締役会長）から経営を引き継いだ」</t>
    </r>
  </si>
  <si>
    <r>
      <rPr>
        <sz val="9"/>
        <rFont val="Noto Sans CJK SC"/>
        <family val="2"/>
      </rPr>
      <t xml:space="preserve">公募要領</t>
    </r>
    <r>
      <rPr>
        <sz val="9"/>
        <rFont val="Meiryo UI"/>
        <family val="0"/>
        <charset val="1"/>
      </rPr>
      <t xml:space="preserve">5-2</t>
    </r>
    <r>
      <rPr>
        <sz val="9"/>
        <rFont val="Noto Sans CJK SC"/>
        <family val="2"/>
      </rPr>
      <t xml:space="preserve">の加点</t>
    </r>
    <r>
      <rPr>
        <sz val="9"/>
        <rFont val="Meiryo UI"/>
        <family val="0"/>
        <charset val="1"/>
      </rPr>
      <t xml:space="preserve">1</t>
    </r>
    <r>
      <rPr>
        <sz val="9"/>
        <rFont val="Noto Sans CJK SC"/>
        <family val="2"/>
      </rPr>
      <t xml:space="preserve">「事業承継又は</t>
    </r>
    <r>
      <rPr>
        <sz val="9"/>
        <rFont val="Meiryo UI"/>
        <family val="0"/>
        <charset val="1"/>
      </rPr>
      <t xml:space="preserve">M&amp;A</t>
    </r>
    <r>
      <rPr>
        <sz val="9"/>
        <rFont val="Noto Sans CJK SC"/>
        <family val="2"/>
      </rPr>
      <t xml:space="preserve">を実施した事業者」は、過去</t>
    </r>
    <r>
      <rPr>
        <sz val="9"/>
        <rFont val="Meiryo UI"/>
        <family val="0"/>
        <charset val="1"/>
      </rPr>
      <t xml:space="preserve">3</t>
    </r>
    <r>
      <rPr>
        <sz val="9"/>
        <rFont val="Noto Sans CJK SC"/>
        <family val="2"/>
      </rPr>
      <t xml:space="preserve">年以内の事業承継（同一法人内での代表者交代を含む）が対象。</t>
    </r>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月の代表交代は該当する可能性が高いが、加点を申請するかどうかが計画書・申請準備で明示されていない。</t>
    </r>
  </si>
  <si>
    <r>
      <rPr>
        <sz val="9"/>
        <rFont val="Noto Sans CJK SC"/>
        <family val="2"/>
      </rPr>
      <t xml:space="preserve">履歴事項全部証明書（代表者変更の登記）等で要件を確認し、加点</t>
    </r>
    <r>
      <rPr>
        <sz val="9"/>
        <rFont val="Meiryo UI"/>
        <family val="0"/>
        <charset val="1"/>
      </rPr>
      <t xml:space="preserve">1</t>
    </r>
    <r>
      <rPr>
        <sz val="9"/>
        <rFont val="Noto Sans CJK SC"/>
        <family val="2"/>
      </rPr>
      <t xml:space="preserve">を申請する。</t>
    </r>
    <r>
      <rPr>
        <sz val="9"/>
        <rFont val="Meiryo UI"/>
        <family val="0"/>
        <charset val="1"/>
      </rPr>
      <t xml:space="preserve">6</t>
    </r>
    <r>
      <rPr>
        <sz val="9"/>
        <rFont val="Noto Sans CJK SC"/>
        <family val="2"/>
      </rPr>
      <t xml:space="preserve">章②に「本件は事業承継（代表者交代）に係る加点を申請する」と一言添えると、審査項目</t>
    </r>
    <r>
      <rPr>
        <sz val="9"/>
        <rFont val="Meiryo UI"/>
        <family val="0"/>
        <charset val="1"/>
      </rPr>
      <t xml:space="preserve">4-b</t>
    </r>
    <r>
      <rPr>
        <sz val="9"/>
        <rFont val="Noto Sans CJK SC"/>
        <family val="2"/>
      </rPr>
      <t xml:space="preserve">との連動が明確になる。</t>
    </r>
  </si>
  <si>
    <r>
      <rPr>
        <sz val="9"/>
        <rFont val="Meiryo UI"/>
        <family val="0"/>
        <charset val="1"/>
      </rPr>
      <t xml:space="preserve">4-b</t>
    </r>
    <r>
      <rPr>
        <sz val="9"/>
        <rFont val="Noto Sans CJK SC"/>
        <family val="2"/>
      </rPr>
      <t xml:space="preserve">、加点</t>
    </r>
    <r>
      <rPr>
        <sz val="9"/>
        <rFont val="Meiryo UI"/>
        <family val="0"/>
        <charset val="1"/>
      </rPr>
      <t xml:space="preserve">1</t>
    </r>
  </si>
  <si>
    <r>
      <rPr>
        <sz val="9"/>
        <rFont val="Noto Sans CJK SC"/>
        <family val="2"/>
      </rPr>
      <t xml:space="preserve">公募要領</t>
    </r>
    <r>
      <rPr>
        <sz val="9"/>
        <rFont val="Meiryo UI"/>
        <family val="0"/>
        <charset val="1"/>
      </rPr>
      <t xml:space="preserve">5-2 </t>
    </r>
    <r>
      <rPr>
        <sz val="9"/>
        <rFont val="Noto Sans CJK SC"/>
        <family val="2"/>
      </rPr>
      <t xml:space="preserve">加点</t>
    </r>
    <r>
      <rPr>
        <sz val="9"/>
        <rFont val="Meiryo UI"/>
        <family val="0"/>
        <charset val="1"/>
      </rPr>
      <t xml:space="preserve">1</t>
    </r>
  </si>
  <si>
    <t xml:space="preserve">記載漏れ</t>
  </si>
  <si>
    <r>
      <rPr>
        <sz val="9"/>
        <rFont val="Meiryo UI"/>
        <family val="0"/>
        <charset val="1"/>
      </rPr>
      <t xml:space="preserve">4</t>
    </r>
    <r>
      <rPr>
        <sz val="9"/>
        <rFont val="Noto Sans CJK SC"/>
        <family val="2"/>
      </rPr>
      <t xml:space="preserve">章①資金調達の方法</t>
    </r>
  </si>
  <si>
    <t xml:space="preserve">（記載なし）</t>
  </si>
  <si>
    <r>
      <rPr>
        <sz val="9"/>
        <rFont val="Noto Sans CJK SC"/>
        <family val="2"/>
      </rPr>
      <t xml:space="preserve">参考様式</t>
    </r>
    <r>
      <rPr>
        <sz val="9"/>
        <rFont val="Meiryo UI"/>
        <family val="0"/>
        <charset val="1"/>
      </rPr>
      <t xml:space="preserve">4</t>
    </r>
    <r>
      <rPr>
        <sz val="9"/>
        <rFont val="Noto Sans CJK SC"/>
        <family val="2"/>
      </rPr>
      <t xml:space="preserve">章の記載指示「補助金が活用できない場合の資金調達の代替策の検討もあれば記載してください」に対応する記述がない。</t>
    </r>
  </si>
  <si>
    <t xml:space="preserve">例：「補助金が活用できない場合は、投資規模の縮小（予備パレットの削減等）や導入時期の見直しが必要となり、効果の発現が遅れる」等、補助金の必要性が伝わる形で一文追加する。</t>
  </si>
  <si>
    <t xml:space="preserve">3-c</t>
  </si>
  <si>
    <r>
      <rPr>
        <sz val="9"/>
        <rFont val="Noto Sans CJK SC"/>
        <family val="2"/>
      </rPr>
      <t xml:space="preserve">【参考様式】事業計画書（その１その２）</t>
    </r>
    <r>
      <rPr>
        <sz val="9"/>
        <rFont val="Meiryo UI"/>
        <family val="0"/>
        <charset val="1"/>
      </rPr>
      <t xml:space="preserve">4</t>
    </r>
    <r>
      <rPr>
        <sz val="9"/>
        <rFont val="Noto Sans CJK SC"/>
        <family val="2"/>
      </rPr>
      <t xml:space="preserve">章の記載指示</t>
    </r>
  </si>
  <si>
    <t xml:space="preserve">C</t>
  </si>
  <si>
    <t xml:space="preserve">表記</t>
  </si>
  <si>
    <t xml:space="preserve">（３）事業計画の概要</t>
  </si>
  <si>
    <r>
      <rPr>
        <sz val="9"/>
        <rFont val="Noto Sans CJK SC"/>
        <family val="2"/>
      </rPr>
      <t xml:space="preserve">「…ロボット式パウチ自動供給装置で投入を自動化し、</t>
    </r>
    <r>
      <rPr>
        <sz val="9"/>
        <rFont val="Meiryo UI"/>
        <family val="0"/>
        <charset val="1"/>
      </rPr>
      <t xml:space="preserve">1</t>
    </r>
    <r>
      <rPr>
        <sz val="9"/>
        <rFont val="Noto Sans CJK SC"/>
        <family val="2"/>
      </rPr>
      <t xml:space="preserve">日</t>
    </r>
    <r>
      <rPr>
        <sz val="9"/>
        <rFont val="Meiryo UI"/>
        <family val="0"/>
        <charset val="1"/>
      </rPr>
      <t xml:space="preserve">13.3</t>
    </r>
    <r>
      <rPr>
        <sz val="9"/>
        <rFont val="Noto Sans CJK SC"/>
        <family val="2"/>
      </rPr>
      <t xml:space="preserve">時間を創出、</t>
    </r>
    <r>
      <rPr>
        <sz val="9"/>
        <rFont val="Meiryo UI"/>
        <family val="0"/>
        <charset val="1"/>
      </rPr>
      <t xml:space="preserve">1</t>
    </r>
    <r>
      <rPr>
        <sz val="9"/>
        <rFont val="Noto Sans CJK SC"/>
        <family val="2"/>
      </rPr>
      <t xml:space="preserve">日</t>
    </r>
    <r>
      <rPr>
        <sz val="9"/>
        <rFont val="Meiryo UI"/>
        <family val="0"/>
        <charset val="1"/>
      </rPr>
      <t xml:space="preserve">17.5</t>
    </r>
    <r>
      <rPr>
        <sz val="9"/>
        <rFont val="Noto Sans CJK SC"/>
        <family val="2"/>
      </rPr>
      <t xml:space="preserve">時間稼働を保ってリソースを多能工化・</t>
    </r>
    <r>
      <rPr>
        <sz val="9"/>
        <rFont val="Meiryo UI"/>
        <family val="0"/>
        <charset val="1"/>
      </rPr>
      <t xml:space="preserve">ODM</t>
    </r>
    <r>
      <rPr>
        <sz val="9"/>
        <rFont val="Noto Sans CJK SC"/>
        <family val="2"/>
      </rPr>
      <t xml:space="preserve">提案へ配分する。」（</t>
    </r>
    <r>
      <rPr>
        <sz val="9"/>
        <rFont val="Meiryo UI"/>
        <family val="0"/>
        <charset val="1"/>
      </rPr>
      <t xml:space="preserve">108</t>
    </r>
    <r>
      <rPr>
        <sz val="9"/>
        <rFont val="Noto Sans CJK SC"/>
        <family val="2"/>
      </rPr>
      <t xml:space="preserve">字）</t>
    </r>
  </si>
  <si>
    <r>
      <rPr>
        <sz val="9"/>
        <rFont val="Noto Sans CJK SC"/>
        <family val="2"/>
      </rPr>
      <t xml:space="preserve">「</t>
    </r>
    <r>
      <rPr>
        <sz val="9"/>
        <rFont val="Meiryo UI"/>
        <family val="0"/>
        <charset val="1"/>
      </rPr>
      <t xml:space="preserve">1</t>
    </r>
    <r>
      <rPr>
        <sz val="9"/>
        <rFont val="Noto Sans CJK SC"/>
        <family val="2"/>
      </rPr>
      <t xml:space="preserve">日」が重複して読みにくい（字数は</t>
    </r>
    <r>
      <rPr>
        <sz val="9"/>
        <rFont val="Meiryo UI"/>
        <family val="0"/>
        <charset val="1"/>
      </rPr>
      <t xml:space="preserve">100</t>
    </r>
    <r>
      <rPr>
        <sz val="9"/>
        <rFont val="Noto Sans CJK SC"/>
        <family val="2"/>
      </rPr>
      <t xml:space="preserve">字程度で問題なし）。概要は補助事業として公表される可能性がある文章。</t>
    </r>
  </si>
  <si>
    <r>
      <rPr>
        <sz val="9"/>
        <rFont val="Noto Sans CJK SC"/>
        <family val="2"/>
      </rPr>
      <t xml:space="preserve">例：「…ロボット式パウチ自動供給装置で投入を自動化して</t>
    </r>
    <r>
      <rPr>
        <sz val="9"/>
        <rFont val="Meiryo UI"/>
        <family val="0"/>
        <charset val="1"/>
      </rPr>
      <t xml:space="preserve">1</t>
    </r>
    <r>
      <rPr>
        <sz val="9"/>
        <rFont val="Noto Sans CJK SC"/>
        <family val="2"/>
      </rPr>
      <t xml:space="preserve">日約</t>
    </r>
    <r>
      <rPr>
        <sz val="9"/>
        <rFont val="Meiryo UI"/>
        <family val="0"/>
        <charset val="1"/>
      </rPr>
      <t xml:space="preserve">13.3</t>
    </r>
    <r>
      <rPr>
        <sz val="9"/>
        <rFont val="Noto Sans CJK SC"/>
        <family val="2"/>
      </rPr>
      <t xml:space="preserve">時間を創出し、</t>
    </r>
    <r>
      <rPr>
        <sz val="9"/>
        <rFont val="Meiryo UI"/>
        <family val="0"/>
        <charset val="1"/>
      </rPr>
      <t xml:space="preserve">17.5</t>
    </r>
    <r>
      <rPr>
        <sz val="9"/>
        <rFont val="Noto Sans CJK SC"/>
        <family val="2"/>
      </rPr>
      <t xml:space="preserve">時間稼働を保ちながら人員を多能工化・提案型</t>
    </r>
    <r>
      <rPr>
        <sz val="9"/>
        <rFont val="Meiryo UI"/>
        <family val="0"/>
        <charset val="1"/>
      </rPr>
      <t xml:space="preserve">ODM</t>
    </r>
    <r>
      <rPr>
        <sz val="9"/>
        <rFont val="Noto Sans CJK SC"/>
        <family val="2"/>
      </rPr>
      <t xml:space="preserve">へ振り向ける。」</t>
    </r>
  </si>
  <si>
    <r>
      <rPr>
        <sz val="9"/>
        <rFont val="Noto Sans CJK SC"/>
        <family val="2"/>
      </rPr>
      <t xml:space="preserve">必須</t>
    </r>
    <r>
      <rPr>
        <sz val="9"/>
        <rFont val="Meiryo UI"/>
        <family val="0"/>
        <charset val="1"/>
      </rPr>
      <t xml:space="preserve">1</t>
    </r>
  </si>
  <si>
    <t xml:space="preserve">表記ゆれ</t>
  </si>
  <si>
    <t xml:space="preserve">（４）冒頭</t>
  </si>
  <si>
    <t xml:space="preserve">「発注先予定である株式会社フジシール（兵庫県尼崎市）から見積もり取得済み」</t>
  </si>
  <si>
    <t xml:space="preserve">本文の他の箇所は「見積」で統一されている。「発注先予定」は語順が不自然。</t>
  </si>
  <si>
    <t xml:space="preserve">「発注予定先である株式会社フジシール（…）から見積を取得済み」</t>
  </si>
  <si>
    <r>
      <rPr>
        <sz val="9"/>
        <rFont val="Noto Sans CJK SC"/>
        <family val="2"/>
      </rPr>
      <t xml:space="preserve">（４）経費一覧</t>
    </r>
    <r>
      <rPr>
        <sz val="9"/>
        <rFont val="Meiryo UI"/>
        <family val="0"/>
        <charset val="1"/>
      </rPr>
      <t xml:space="preserve">No.2</t>
    </r>
  </si>
  <si>
    <r>
      <rPr>
        <sz val="9"/>
        <rFont val="Noto Sans CJK SC"/>
        <family val="2"/>
      </rPr>
      <t xml:space="preserve">「</t>
    </r>
    <r>
      <rPr>
        <sz val="9"/>
        <rFont val="Meiryo UI"/>
        <family val="0"/>
        <charset val="1"/>
      </rPr>
      <t xml:space="preserve">5</t>
    </r>
    <r>
      <rPr>
        <sz val="9"/>
        <rFont val="Noto Sans CJK SC"/>
        <family val="2"/>
      </rPr>
      <t xml:space="preserve">段積</t>
    </r>
    <r>
      <rPr>
        <sz val="9"/>
        <rFont val="Meiryo UI"/>
        <family val="0"/>
        <charset val="1"/>
      </rPr>
      <t xml:space="preserve">×4</t>
    </r>
    <r>
      <rPr>
        <sz val="9"/>
        <rFont val="Noto Sans CJK SC"/>
        <family val="2"/>
      </rPr>
      <t xml:space="preserve">列、機内</t>
    </r>
    <r>
      <rPr>
        <sz val="9"/>
        <rFont val="Meiryo UI"/>
        <family val="0"/>
        <charset val="1"/>
      </rPr>
      <t xml:space="preserve">25</t>
    </r>
    <r>
      <rPr>
        <sz val="9"/>
        <rFont val="Noto Sans CJK SC"/>
        <family val="2"/>
      </rPr>
      <t xml:space="preserve">枚＋予備</t>
    </r>
    <r>
      <rPr>
        <sz val="9"/>
        <rFont val="Meiryo UI"/>
        <family val="0"/>
        <charset val="1"/>
      </rPr>
      <t xml:space="preserve">65</t>
    </r>
    <r>
      <rPr>
        <sz val="9"/>
        <rFont val="Noto Sans CJK SC"/>
        <family val="2"/>
      </rPr>
      <t xml:space="preserve">枚」</t>
    </r>
  </si>
  <si>
    <r>
      <rPr>
        <sz val="9"/>
        <rFont val="Meiryo UI"/>
        <family val="0"/>
        <charset val="1"/>
      </rPr>
      <t xml:space="preserve">5×4</t>
    </r>
    <r>
      <rPr>
        <sz val="9"/>
        <rFont val="Noto Sans CJK SC"/>
        <family val="2"/>
      </rPr>
      <t xml:space="preserve">＝</t>
    </r>
    <r>
      <rPr>
        <sz val="9"/>
        <rFont val="Meiryo UI"/>
        <family val="0"/>
        <charset val="1"/>
      </rPr>
      <t xml:space="preserve">20</t>
    </r>
    <r>
      <rPr>
        <sz val="9"/>
        <rFont val="Noto Sans CJK SC"/>
        <family val="2"/>
      </rPr>
      <t xml:space="preserve">枚で「機内</t>
    </r>
    <r>
      <rPr>
        <sz val="9"/>
        <rFont val="Meiryo UI"/>
        <family val="0"/>
        <charset val="1"/>
      </rPr>
      <t xml:space="preserve">25</t>
    </r>
    <r>
      <rPr>
        <sz val="9"/>
        <rFont val="Noto Sans CJK SC"/>
        <family val="2"/>
      </rPr>
      <t xml:space="preserve">枚」と合わないように読める（予備</t>
    </r>
    <r>
      <rPr>
        <sz val="9"/>
        <rFont val="Meiryo UI"/>
        <family val="0"/>
        <charset val="1"/>
      </rPr>
      <t xml:space="preserve">1</t>
    </r>
    <r>
      <rPr>
        <sz val="9"/>
        <rFont val="Noto Sans CJK SC"/>
        <family val="2"/>
      </rPr>
      <t xml:space="preserve">列</t>
    </r>
    <r>
      <rPr>
        <sz val="9"/>
        <rFont val="Meiryo UI"/>
        <family val="0"/>
        <charset val="1"/>
      </rPr>
      <t xml:space="preserve">5</t>
    </r>
    <r>
      <rPr>
        <sz val="9"/>
        <rFont val="Noto Sans CJK SC"/>
        <family val="2"/>
      </rPr>
      <t xml:space="preserve">枚を含む）。</t>
    </r>
  </si>
  <si>
    <r>
      <rPr>
        <sz val="9"/>
        <rFont val="Noto Sans CJK SC"/>
        <family val="2"/>
      </rPr>
      <t xml:space="preserve">「</t>
    </r>
    <r>
      <rPr>
        <sz val="9"/>
        <rFont val="Meiryo UI"/>
        <family val="0"/>
        <charset val="1"/>
      </rPr>
      <t xml:space="preserve">5</t>
    </r>
    <r>
      <rPr>
        <sz val="9"/>
        <rFont val="Noto Sans CJK SC"/>
        <family val="2"/>
      </rPr>
      <t xml:space="preserve">段</t>
    </r>
    <r>
      <rPr>
        <sz val="9"/>
        <rFont val="Meiryo UI"/>
        <family val="0"/>
        <charset val="1"/>
      </rPr>
      <t xml:space="preserve">×4</t>
    </r>
    <r>
      <rPr>
        <sz val="9"/>
        <rFont val="Noto Sans CJK SC"/>
        <family val="2"/>
      </rPr>
      <t xml:space="preserve">列＋予備</t>
    </r>
    <r>
      <rPr>
        <sz val="9"/>
        <rFont val="Meiryo UI"/>
        <family val="0"/>
        <charset val="1"/>
      </rPr>
      <t xml:space="preserve">1</t>
    </r>
    <r>
      <rPr>
        <sz val="9"/>
        <rFont val="Noto Sans CJK SC"/>
        <family val="2"/>
      </rPr>
      <t xml:space="preserve">列＝機内</t>
    </r>
    <r>
      <rPr>
        <sz val="9"/>
        <rFont val="Meiryo UI"/>
        <family val="0"/>
        <charset val="1"/>
      </rPr>
      <t xml:space="preserve">25</t>
    </r>
    <r>
      <rPr>
        <sz val="9"/>
        <rFont val="Noto Sans CJK SC"/>
        <family val="2"/>
      </rPr>
      <t xml:space="preserve">枚、予備</t>
    </r>
    <r>
      <rPr>
        <sz val="9"/>
        <rFont val="Meiryo UI"/>
        <family val="0"/>
        <charset val="1"/>
      </rPr>
      <t xml:space="preserve">65</t>
    </r>
    <r>
      <rPr>
        <sz val="9"/>
        <rFont val="Noto Sans CJK SC"/>
        <family val="2"/>
      </rPr>
      <t xml:space="preserve">枚」</t>
    </r>
  </si>
  <si>
    <t xml:space="preserve">表現（根拠）</t>
  </si>
  <si>
    <r>
      <rPr>
        <sz val="9"/>
        <rFont val="Meiryo UI"/>
        <family val="0"/>
        <charset val="1"/>
      </rPr>
      <t xml:space="preserve">1</t>
    </r>
    <r>
      <rPr>
        <sz val="9"/>
        <rFont val="Noto Sans CJK SC"/>
        <family val="2"/>
      </rPr>
      <t xml:space="preserve">．当社概要</t>
    </r>
  </si>
  <si>
    <t xml:space="preserve">「自社ブランドのシャンメリーは、販売シェア「世界一」を誇る」</t>
  </si>
  <si>
    <t xml:space="preserve">根拠（出典・自社調べ等）が示されていない最上級表現。</t>
  </si>
  <si>
    <t xml:space="preserve">「（自社調べ）」等の根拠を付記するか、確認できる表現に変更する。</t>
  </si>
  <si>
    <t xml:space="preserve">数値（端数処理）</t>
  </si>
  <si>
    <r>
      <rPr>
        <sz val="9"/>
        <rFont val="Meiryo UI"/>
        <family val="0"/>
        <charset val="1"/>
      </rPr>
      <t xml:space="preserve">1</t>
    </r>
    <r>
      <rPr>
        <sz val="9"/>
        <rFont val="Noto Sans CJK SC"/>
        <family val="2"/>
      </rPr>
      <t xml:space="preserve">．事業内容①売上構成の表</t>
    </r>
  </si>
  <si>
    <r>
      <rPr>
        <sz val="9"/>
        <rFont val="Noto Sans CJK SC"/>
        <family val="2"/>
      </rPr>
      <t xml:space="preserve">「受託製造 </t>
    </r>
    <r>
      <rPr>
        <sz val="9"/>
        <rFont val="Meiryo UI"/>
        <family val="0"/>
        <charset val="1"/>
      </rPr>
      <t xml:space="preserve">9,320</t>
    </r>
    <r>
      <rPr>
        <sz val="9"/>
        <rFont val="Noto Sans CJK SC"/>
        <family val="2"/>
      </rPr>
      <t xml:space="preserve">百万円 </t>
    </r>
    <r>
      <rPr>
        <sz val="9"/>
        <rFont val="Meiryo UI"/>
        <family val="0"/>
        <charset val="1"/>
      </rPr>
      <t xml:space="preserve">83.4%</t>
    </r>
    <r>
      <rPr>
        <sz val="9"/>
        <rFont val="Noto Sans CJK SC"/>
        <family val="2"/>
      </rPr>
      <t xml:space="preserve">」「バランス部門 </t>
    </r>
    <r>
      <rPr>
        <sz val="9"/>
        <rFont val="Meiryo UI"/>
        <family val="0"/>
        <charset val="1"/>
      </rPr>
      <t xml:space="preserve">1,463</t>
    </r>
    <r>
      <rPr>
        <sz val="9"/>
        <rFont val="Noto Sans CJK SC"/>
        <family val="2"/>
      </rPr>
      <t xml:space="preserve">百万円 </t>
    </r>
    <r>
      <rPr>
        <sz val="9"/>
        <rFont val="Meiryo UI"/>
        <family val="0"/>
        <charset val="1"/>
      </rPr>
      <t xml:space="preserve">13.0%</t>
    </r>
    <r>
      <rPr>
        <sz val="9"/>
        <rFont val="Noto Sans CJK SC"/>
        <family val="2"/>
      </rPr>
      <t xml:space="preserve">」「自社商品 </t>
    </r>
    <r>
      <rPr>
        <sz val="9"/>
        <rFont val="Meiryo UI"/>
        <family val="0"/>
        <charset val="1"/>
      </rPr>
      <t xml:space="preserve">385</t>
    </r>
    <r>
      <rPr>
        <sz val="9"/>
        <rFont val="Noto Sans CJK SC"/>
        <family val="2"/>
      </rPr>
      <t xml:space="preserve">百万円 </t>
    </r>
    <r>
      <rPr>
        <sz val="9"/>
        <rFont val="Meiryo UI"/>
        <family val="0"/>
        <charset val="1"/>
      </rPr>
      <t xml:space="preserve">3.4%</t>
    </r>
    <r>
      <rPr>
        <sz val="9"/>
        <rFont val="Noto Sans CJK SC"/>
        <family val="2"/>
      </rPr>
      <t xml:space="preserve">」「合計 </t>
    </r>
    <r>
      <rPr>
        <sz val="9"/>
        <rFont val="Meiryo UI"/>
        <family val="0"/>
        <charset val="1"/>
      </rPr>
      <t xml:space="preserve">100%</t>
    </r>
    <r>
      <rPr>
        <sz val="9"/>
        <rFont val="Noto Sans CJK SC"/>
        <family val="2"/>
      </rPr>
      <t xml:space="preserve">」</t>
    </r>
  </si>
  <si>
    <r>
      <rPr>
        <sz val="9"/>
        <rFont val="Noto Sans CJK SC"/>
        <family val="2"/>
      </rPr>
      <t xml:space="preserve">表の構成比を足すと</t>
    </r>
    <r>
      <rPr>
        <sz val="9"/>
        <rFont val="Meiryo UI"/>
        <family val="0"/>
        <charset val="1"/>
      </rPr>
      <t xml:space="preserve">83.4</t>
    </r>
    <r>
      <rPr>
        <sz val="9"/>
        <rFont val="Noto Sans CJK SC"/>
        <family val="2"/>
      </rPr>
      <t xml:space="preserve">＋</t>
    </r>
    <r>
      <rPr>
        <sz val="9"/>
        <rFont val="Meiryo UI"/>
        <family val="0"/>
        <charset val="1"/>
      </rPr>
      <t xml:space="preserve">13.0</t>
    </r>
    <r>
      <rPr>
        <sz val="9"/>
        <rFont val="Noto Sans CJK SC"/>
        <family val="2"/>
      </rPr>
      <t xml:space="preserve">＋</t>
    </r>
    <r>
      <rPr>
        <sz val="9"/>
        <rFont val="Meiryo UI"/>
        <family val="0"/>
        <charset val="1"/>
      </rPr>
      <t xml:space="preserve">3.4</t>
    </r>
    <r>
      <rPr>
        <sz val="9"/>
        <rFont val="Noto Sans CJK SC"/>
        <family val="2"/>
      </rPr>
      <t xml:space="preserve">＝</t>
    </r>
    <r>
      <rPr>
        <sz val="9"/>
        <rFont val="Meiryo UI"/>
        <family val="0"/>
        <charset val="1"/>
      </rPr>
      <t xml:space="preserve">99.8%</t>
    </r>
    <r>
      <rPr>
        <sz val="9"/>
        <rFont val="Noto Sans CJK SC"/>
        <family val="2"/>
      </rPr>
      <t xml:space="preserve">で、合計</t>
    </r>
    <r>
      <rPr>
        <sz val="9"/>
        <rFont val="Meiryo UI"/>
        <family val="0"/>
        <charset val="1"/>
      </rPr>
      <t xml:space="preserve">100%</t>
    </r>
    <r>
      <rPr>
        <sz val="9"/>
        <rFont val="Noto Sans CJK SC"/>
        <family val="2"/>
      </rPr>
      <t xml:space="preserve">と一致しない。バランス部門は</t>
    </r>
    <r>
      <rPr>
        <sz val="9"/>
        <rFont val="Meiryo UI"/>
        <family val="0"/>
        <charset val="1"/>
      </rPr>
      <t xml:space="preserve">1,463÷11,168.9≒13.10%</t>
    </r>
    <r>
      <rPr>
        <sz val="9"/>
        <rFont val="Noto Sans CJK SC"/>
        <family val="2"/>
      </rPr>
      <t xml:space="preserve">で</t>
    </r>
    <r>
      <rPr>
        <sz val="9"/>
        <rFont val="Meiryo UI"/>
        <family val="0"/>
        <charset val="1"/>
      </rPr>
      <t xml:space="preserve">13.1%</t>
    </r>
    <r>
      <rPr>
        <sz val="9"/>
        <rFont val="Noto Sans CJK SC"/>
        <family val="2"/>
      </rPr>
      <t xml:space="preserve">が正しい（受託製造は</t>
    </r>
    <r>
      <rPr>
        <sz val="9"/>
        <rFont val="Meiryo UI"/>
        <family val="0"/>
        <charset val="1"/>
      </rPr>
      <t xml:space="preserve">9,320÷11,168</t>
    </r>
    <r>
      <rPr>
        <sz val="9"/>
        <rFont val="Noto Sans CJK SC"/>
        <family val="2"/>
      </rPr>
      <t xml:space="preserve">＝</t>
    </r>
    <r>
      <rPr>
        <sz val="9"/>
        <rFont val="Meiryo UI"/>
        <family val="0"/>
        <charset val="1"/>
      </rPr>
      <t xml:space="preserve">83.45%</t>
    </r>
    <r>
      <rPr>
        <sz val="9"/>
        <rFont val="Noto Sans CJK SC"/>
        <family val="2"/>
      </rPr>
      <t xml:space="preserve">で、円単位の元データ次第で</t>
    </r>
    <r>
      <rPr>
        <sz val="9"/>
        <rFont val="Meiryo UI"/>
        <family val="0"/>
        <charset val="1"/>
      </rPr>
      <t xml:space="preserve">83.4%</t>
    </r>
    <r>
      <rPr>
        <sz val="9"/>
        <rFont val="Noto Sans CJK SC"/>
        <family val="2"/>
      </rPr>
      <t xml:space="preserve">または</t>
    </r>
    <r>
      <rPr>
        <sz val="9"/>
        <rFont val="Meiryo UI"/>
        <family val="0"/>
        <charset val="1"/>
      </rPr>
      <t xml:space="preserve">83.5%</t>
    </r>
    <r>
      <rPr>
        <sz val="9"/>
        <rFont val="Noto Sans CJK SC"/>
        <family val="2"/>
      </rPr>
      <t xml:space="preserve">）。</t>
    </r>
  </si>
  <si>
    <r>
      <rPr>
        <sz val="9"/>
        <rFont val="Noto Sans CJK SC"/>
        <family val="2"/>
      </rPr>
      <t xml:space="preserve">円単位の元データで再計算し、合計が</t>
    </r>
    <r>
      <rPr>
        <sz val="9"/>
        <rFont val="Meiryo UI"/>
        <family val="0"/>
        <charset val="1"/>
      </rPr>
      <t xml:space="preserve">100.0%</t>
    </r>
    <r>
      <rPr>
        <sz val="9"/>
        <rFont val="Noto Sans CJK SC"/>
        <family val="2"/>
      </rPr>
      <t xml:space="preserve">になるよう端数を調整する（例：</t>
    </r>
    <r>
      <rPr>
        <sz val="9"/>
        <rFont val="Meiryo UI"/>
        <family val="0"/>
        <charset val="1"/>
      </rPr>
      <t xml:space="preserve">83.5%</t>
    </r>
    <r>
      <rPr>
        <sz val="9"/>
        <rFont val="Noto Sans CJK SC"/>
        <family val="2"/>
      </rPr>
      <t xml:space="preserve">・</t>
    </r>
    <r>
      <rPr>
        <sz val="9"/>
        <rFont val="Meiryo UI"/>
        <family val="0"/>
        <charset val="1"/>
      </rPr>
      <t xml:space="preserve">13.1%</t>
    </r>
    <r>
      <rPr>
        <sz val="9"/>
        <rFont val="Noto Sans CJK SC"/>
        <family val="2"/>
      </rPr>
      <t xml:space="preserve">・</t>
    </r>
    <r>
      <rPr>
        <sz val="9"/>
        <rFont val="Meiryo UI"/>
        <family val="0"/>
        <charset val="1"/>
      </rPr>
      <t xml:space="preserve">3.4%</t>
    </r>
    <r>
      <rPr>
        <sz val="9"/>
        <rFont val="Noto Sans CJK SC"/>
        <family val="2"/>
      </rPr>
      <t xml:space="preserve">）。</t>
    </r>
  </si>
  <si>
    <t xml:space="preserve">数値照合シート</t>
  </si>
  <si>
    <r>
      <rPr>
        <sz val="9"/>
        <rFont val="Meiryo UI"/>
        <family val="0"/>
        <charset val="1"/>
      </rPr>
      <t xml:space="preserve">1</t>
    </r>
    <r>
      <rPr>
        <sz val="9"/>
        <rFont val="Noto Sans CJK SC"/>
        <family val="2"/>
      </rPr>
      <t xml:space="preserve">．長期的なビジョン【</t>
    </r>
    <r>
      <rPr>
        <sz val="9"/>
        <rFont val="Meiryo UI"/>
        <family val="0"/>
        <charset val="1"/>
      </rPr>
      <t xml:space="preserve">10</t>
    </r>
    <r>
      <rPr>
        <sz val="9"/>
        <rFont val="Noto Sans CJK SC"/>
        <family val="2"/>
      </rPr>
      <t xml:space="preserve">年後】、</t>
    </r>
    <r>
      <rPr>
        <sz val="9"/>
        <rFont val="Meiryo UI"/>
        <family val="0"/>
        <charset val="1"/>
      </rPr>
      <t xml:space="preserve">1-3③</t>
    </r>
  </si>
  <si>
    <r>
      <rPr>
        <sz val="9"/>
        <rFont val="Noto Sans CJK SC"/>
        <family val="2"/>
      </rPr>
      <t xml:space="preserve">「</t>
    </r>
    <r>
      <rPr>
        <sz val="9"/>
        <rFont val="Meiryo UI"/>
        <family val="0"/>
        <charset val="1"/>
      </rPr>
      <t xml:space="preserve">2035</t>
    </r>
    <r>
      <rPr>
        <sz val="9"/>
        <rFont val="Noto Sans CJK SC"/>
        <family val="2"/>
      </rPr>
      <t xml:space="preserve">ビジョンに掲げる売上高</t>
    </r>
    <r>
      <rPr>
        <sz val="9"/>
        <rFont val="Meiryo UI"/>
        <family val="0"/>
        <charset val="1"/>
      </rPr>
      <t xml:space="preserve">300</t>
    </r>
    <r>
      <rPr>
        <sz val="9"/>
        <rFont val="Noto Sans CJK SC"/>
        <family val="2"/>
      </rPr>
      <t xml:space="preserve">億円」</t>
    </r>
  </si>
  <si>
    <r>
      <rPr>
        <sz val="9"/>
        <rFont val="Noto Sans CJK SC"/>
        <family val="2"/>
      </rPr>
      <t xml:space="preserve">計画値は</t>
    </r>
    <r>
      <rPr>
        <sz val="9"/>
        <rFont val="Meiryo UI"/>
        <family val="0"/>
        <charset val="1"/>
      </rPr>
      <t xml:space="preserve">5</t>
    </r>
    <r>
      <rPr>
        <sz val="9"/>
        <rFont val="Noto Sans CJK SC"/>
        <family val="2"/>
      </rPr>
      <t xml:space="preserve">年目（</t>
    </r>
    <r>
      <rPr>
        <sz val="9"/>
        <rFont val="Meiryo UI"/>
        <family val="0"/>
        <charset val="1"/>
      </rPr>
      <t xml:space="preserve">2033</t>
    </r>
    <r>
      <rPr>
        <sz val="9"/>
        <rFont val="Noto Sans CJK SC"/>
        <family val="2"/>
      </rPr>
      <t xml:space="preserve">年</t>
    </r>
    <r>
      <rPr>
        <sz val="9"/>
        <rFont val="Meiryo UI"/>
        <family val="0"/>
        <charset val="1"/>
      </rPr>
      <t xml:space="preserve">3</t>
    </r>
    <r>
      <rPr>
        <sz val="9"/>
        <rFont val="Noto Sans CJK SC"/>
        <family val="2"/>
      </rPr>
      <t xml:space="preserve">月期）でも約</t>
    </r>
    <r>
      <rPr>
        <sz val="9"/>
        <rFont val="Meiryo UI"/>
        <family val="0"/>
        <charset val="1"/>
      </rPr>
      <t xml:space="preserve">140</t>
    </r>
    <r>
      <rPr>
        <sz val="9"/>
        <rFont val="Noto Sans CJK SC"/>
        <family val="2"/>
      </rPr>
      <t xml:space="preserve">億円で、</t>
    </r>
    <r>
      <rPr>
        <sz val="9"/>
        <rFont val="Meiryo UI"/>
        <family val="0"/>
        <charset val="1"/>
      </rPr>
      <t xml:space="preserve">300</t>
    </r>
    <r>
      <rPr>
        <sz val="9"/>
        <rFont val="Noto Sans CJK SC"/>
        <family val="2"/>
      </rPr>
      <t xml:space="preserve">億円（約</t>
    </r>
    <r>
      <rPr>
        <sz val="9"/>
        <rFont val="Meiryo UI"/>
        <family val="0"/>
        <charset val="1"/>
      </rPr>
      <t xml:space="preserve">2.1</t>
    </r>
    <r>
      <rPr>
        <sz val="9"/>
        <rFont val="Noto Sans CJK SC"/>
        <family val="2"/>
      </rPr>
      <t xml:space="preserve">倍）との差を埋める道筋が書かれていない。保守的な数値計画との落差で、ビジョンが根拠の乏しいものに見えるおそれがある。</t>
    </r>
  </si>
  <si>
    <t xml:space="preserve">「新ライン・他ライン展開、新規取引等を含む全社ビジョンであり、本計画の数値には含めない」旨を一言添える。</t>
  </si>
  <si>
    <r>
      <rPr>
        <sz val="9"/>
        <rFont val="Meiryo UI"/>
        <family val="0"/>
        <charset val="1"/>
      </rPr>
      <t xml:space="preserve">1-1 O1</t>
    </r>
    <r>
      <rPr>
        <sz val="9"/>
        <rFont val="Noto Sans CJK SC"/>
        <family val="2"/>
      </rPr>
      <t xml:space="preserve">、</t>
    </r>
    <r>
      <rPr>
        <sz val="9"/>
        <rFont val="Meiryo UI"/>
        <family val="0"/>
        <charset val="1"/>
      </rPr>
      <t xml:space="preserve">3</t>
    </r>
    <r>
      <rPr>
        <sz val="9"/>
        <rFont val="Noto Sans CJK SC"/>
        <family val="2"/>
      </rPr>
      <t xml:space="preserve">章③表（機能性）</t>
    </r>
  </si>
  <si>
    <r>
      <rPr>
        <sz val="9"/>
        <rFont val="Noto Sans CJK SC"/>
        <family val="2"/>
      </rPr>
      <t xml:space="preserve">「機能性表示食品飲料の生産量は</t>
    </r>
    <r>
      <rPr>
        <sz val="9"/>
        <rFont val="Meiryo UI"/>
        <family val="0"/>
        <charset val="1"/>
      </rPr>
      <t xml:space="preserve">5</t>
    </r>
    <r>
      <rPr>
        <sz val="9"/>
        <rFont val="Noto Sans CJK SC"/>
        <family val="2"/>
      </rPr>
      <t xml:space="preserve">年で約</t>
    </r>
    <r>
      <rPr>
        <sz val="9"/>
        <rFont val="Meiryo UI"/>
        <family val="0"/>
        <charset val="1"/>
      </rPr>
      <t xml:space="preserve">1.9</t>
    </r>
    <r>
      <rPr>
        <sz val="9"/>
        <rFont val="Noto Sans CJK SC"/>
        <family val="2"/>
      </rPr>
      <t xml:space="preserve">倍」</t>
    </r>
  </si>
  <si>
    <r>
      <rPr>
        <sz val="9"/>
        <rFont val="Noto Sans CJK SC"/>
        <family val="2"/>
      </rPr>
      <t xml:space="preserve">出典データは</t>
    </r>
    <r>
      <rPr>
        <sz val="9"/>
        <rFont val="Meiryo UI"/>
        <family val="0"/>
        <charset val="1"/>
      </rPr>
      <t xml:space="preserve">2021</t>
    </r>
    <r>
      <rPr>
        <sz val="9"/>
        <rFont val="Noto Sans CJK SC"/>
        <family val="2"/>
      </rPr>
      <t xml:space="preserve">年</t>
    </r>
    <r>
      <rPr>
        <sz val="9"/>
        <rFont val="Meiryo UI"/>
        <family val="0"/>
        <charset val="1"/>
      </rPr>
      <t xml:space="preserve">64,225</t>
    </r>
    <r>
      <rPr>
        <sz val="9"/>
        <rFont val="Noto Sans CJK SC"/>
        <family val="2"/>
      </rPr>
      <t xml:space="preserve">千ケース→</t>
    </r>
    <r>
      <rPr>
        <sz val="9"/>
        <rFont val="Meiryo UI"/>
        <family val="0"/>
        <charset val="1"/>
      </rPr>
      <t xml:space="preserve">2025</t>
    </r>
    <r>
      <rPr>
        <sz val="9"/>
        <rFont val="Noto Sans CJK SC"/>
        <family val="2"/>
      </rPr>
      <t xml:space="preserve">年</t>
    </r>
    <r>
      <rPr>
        <sz val="9"/>
        <rFont val="Meiryo UI"/>
        <family val="0"/>
        <charset val="1"/>
      </rPr>
      <t xml:space="preserve">124,691</t>
    </r>
    <r>
      <rPr>
        <sz val="9"/>
        <rFont val="Noto Sans CJK SC"/>
        <family val="2"/>
      </rPr>
      <t xml:space="preserve">千ケース（伸びは</t>
    </r>
    <r>
      <rPr>
        <sz val="9"/>
        <rFont val="Meiryo UI"/>
        <family val="0"/>
        <charset val="1"/>
      </rPr>
      <t xml:space="preserve">4</t>
    </r>
    <r>
      <rPr>
        <sz val="9"/>
        <rFont val="Noto Sans CJK SC"/>
        <family val="2"/>
      </rPr>
      <t xml:space="preserve">年間）。</t>
    </r>
  </si>
  <si>
    <r>
      <rPr>
        <sz val="9"/>
        <rFont val="Noto Sans CJK SC"/>
        <family val="2"/>
      </rPr>
      <t xml:space="preserve">「</t>
    </r>
    <r>
      <rPr>
        <sz val="9"/>
        <rFont val="Meiryo UI"/>
        <family val="0"/>
        <charset val="1"/>
      </rPr>
      <t xml:space="preserve">2021</t>
    </r>
    <r>
      <rPr>
        <sz val="9"/>
        <rFont val="Noto Sans CJK SC"/>
        <family val="2"/>
      </rPr>
      <t xml:space="preserve">年→</t>
    </r>
    <r>
      <rPr>
        <sz val="9"/>
        <rFont val="Meiryo UI"/>
        <family val="0"/>
        <charset val="1"/>
      </rPr>
      <t xml:space="preserve">2025</t>
    </r>
    <r>
      <rPr>
        <sz val="9"/>
        <rFont val="Noto Sans CJK SC"/>
        <family val="2"/>
      </rPr>
      <t xml:space="preserve">年で約</t>
    </r>
    <r>
      <rPr>
        <sz val="9"/>
        <rFont val="Meiryo UI"/>
        <family val="0"/>
        <charset val="1"/>
      </rPr>
      <t xml:space="preserve">1.9</t>
    </r>
    <r>
      <rPr>
        <sz val="9"/>
        <rFont val="Noto Sans CJK SC"/>
        <family val="2"/>
      </rPr>
      <t xml:space="preserve">倍（全国清涼飲料連合会）」と期間を明記する。</t>
    </r>
  </si>
  <si>
    <t xml:space="preserve">market_data.md A-3</t>
  </si>
  <si>
    <r>
      <rPr>
        <sz val="9"/>
        <rFont val="Meiryo UI"/>
        <family val="0"/>
        <charset val="1"/>
      </rPr>
      <t xml:space="preserve">1-1 T1</t>
    </r>
    <r>
      <rPr>
        <sz val="9"/>
        <rFont val="Noto Sans CJK SC"/>
        <family val="2"/>
      </rPr>
      <t xml:space="preserve">、</t>
    </r>
    <r>
      <rPr>
        <sz val="9"/>
        <rFont val="Meiryo UI"/>
        <family val="0"/>
        <charset val="1"/>
      </rPr>
      <t xml:space="preserve">1-2</t>
    </r>
    <r>
      <rPr>
        <sz val="9"/>
        <rFont val="Noto Sans CJK SC"/>
        <family val="2"/>
      </rPr>
      <t xml:space="preserve">課題②、</t>
    </r>
    <r>
      <rPr>
        <sz val="9"/>
        <rFont val="Meiryo UI"/>
        <family val="0"/>
        <charset val="1"/>
      </rPr>
      <t xml:space="preserve">1-3②</t>
    </r>
    <r>
      <rPr>
        <sz val="9"/>
        <rFont val="Noto Sans CJK SC"/>
        <family val="2"/>
      </rPr>
      <t xml:space="preserve">代替案の表</t>
    </r>
  </si>
  <si>
    <r>
      <rPr>
        <sz val="9"/>
        <rFont val="Noto Sans CJK SC"/>
        <family val="2"/>
      </rPr>
      <t xml:space="preserve">「富山県の有効求人倍率は</t>
    </r>
    <r>
      <rPr>
        <sz val="9"/>
        <rFont val="Meiryo UI"/>
        <family val="0"/>
        <charset val="1"/>
      </rPr>
      <t xml:space="preserve">1.46</t>
    </r>
    <r>
      <rPr>
        <sz val="9"/>
        <rFont val="Noto Sans CJK SC"/>
        <family val="2"/>
      </rPr>
      <t xml:space="preserve">倍（全国</t>
    </r>
    <r>
      <rPr>
        <sz val="9"/>
        <rFont val="Meiryo UI"/>
        <family val="0"/>
        <charset val="1"/>
      </rPr>
      <t xml:space="preserve">4</t>
    </r>
    <r>
      <rPr>
        <sz val="9"/>
        <rFont val="Noto Sans CJK SC"/>
        <family val="2"/>
      </rPr>
      <t xml:space="preserve">位）、生産工程従事者は</t>
    </r>
    <r>
      <rPr>
        <sz val="9"/>
        <rFont val="Meiryo UI"/>
        <family val="0"/>
        <charset val="1"/>
      </rPr>
      <t xml:space="preserve">2.11</t>
    </r>
    <r>
      <rPr>
        <sz val="9"/>
        <rFont val="Noto Sans CJK SC"/>
        <family val="2"/>
      </rPr>
      <t xml:space="preserve">倍」</t>
    </r>
  </si>
  <si>
    <r>
      <rPr>
        <sz val="9"/>
        <rFont val="Meiryo UI"/>
        <family val="0"/>
        <charset val="1"/>
      </rPr>
      <t xml:space="preserve">1.46</t>
    </r>
    <r>
      <rPr>
        <sz val="9"/>
        <rFont val="Noto Sans CJK SC"/>
        <family val="2"/>
      </rPr>
      <t xml:space="preserve">倍は受理地別・季節調整値、</t>
    </r>
    <r>
      <rPr>
        <sz val="9"/>
        <rFont val="Meiryo UI"/>
        <family val="0"/>
        <charset val="1"/>
      </rPr>
      <t xml:space="preserve">2.11</t>
    </r>
    <r>
      <rPr>
        <sz val="9"/>
        <rFont val="Noto Sans CJK SC"/>
        <family val="2"/>
      </rPr>
      <t xml:space="preserve">倍は職業別・原数値（パート含む常用）で、集計方法が異なる（調査メモでも混在に注意と記載）。</t>
    </r>
  </si>
  <si>
    <r>
      <rPr>
        <sz val="9"/>
        <rFont val="Noto Sans CJK SC"/>
        <family val="2"/>
      </rPr>
      <t xml:space="preserve">「有効求人倍率</t>
    </r>
    <r>
      <rPr>
        <sz val="9"/>
        <rFont val="Meiryo UI"/>
        <family val="0"/>
        <charset val="1"/>
      </rPr>
      <t xml:space="preserve">1.46</t>
    </r>
    <r>
      <rPr>
        <sz val="9"/>
        <rFont val="Noto Sans CJK SC"/>
        <family val="2"/>
      </rPr>
      <t xml:space="preserve">倍（季節調整値、全国</t>
    </r>
    <r>
      <rPr>
        <sz val="9"/>
        <rFont val="Meiryo UI"/>
        <family val="0"/>
        <charset val="1"/>
      </rPr>
      <t xml:space="preserve">4</t>
    </r>
    <r>
      <rPr>
        <sz val="9"/>
        <rFont val="Noto Sans CJK SC"/>
        <family val="2"/>
      </rPr>
      <t xml:space="preserve">位）、生産工程従事者</t>
    </r>
    <r>
      <rPr>
        <sz val="9"/>
        <rFont val="Meiryo UI"/>
        <family val="0"/>
        <charset val="1"/>
      </rPr>
      <t xml:space="preserve">2.11</t>
    </r>
    <r>
      <rPr>
        <sz val="9"/>
        <rFont val="Noto Sans CJK SC"/>
        <family val="2"/>
      </rPr>
      <t xml:space="preserve">倍（原数値）」と注記する。</t>
    </r>
  </si>
  <si>
    <t xml:space="preserve">labor_data.md</t>
  </si>
  <si>
    <t xml:space="preserve">相互参照</t>
  </si>
  <si>
    <r>
      <rPr>
        <sz val="9"/>
        <rFont val="Meiryo UI"/>
        <family val="0"/>
        <charset val="1"/>
      </rPr>
      <t xml:space="preserve">1-2②</t>
    </r>
    <r>
      <rPr>
        <sz val="9"/>
        <rFont val="Noto Sans CJK SC"/>
        <family val="2"/>
      </rPr>
      <t xml:space="preserve">課題①</t>
    </r>
  </si>
  <si>
    <r>
      <rPr>
        <sz val="9"/>
        <rFont val="Noto Sans CJK SC"/>
        <family val="2"/>
      </rPr>
      <t xml:space="preserve">「（全内訳は</t>
    </r>
    <r>
      <rPr>
        <sz val="9"/>
        <rFont val="Meiryo UI"/>
        <family val="0"/>
        <charset val="1"/>
      </rPr>
      <t xml:space="preserve">2-1</t>
    </r>
    <r>
      <rPr>
        <sz val="9"/>
        <rFont val="Noto Sans CJK SC"/>
        <family val="2"/>
      </rPr>
      <t xml:space="preserve">）」</t>
    </r>
  </si>
  <si>
    <r>
      <rPr>
        <sz val="9"/>
        <rFont val="Noto Sans CJK SC"/>
        <family val="2"/>
      </rPr>
      <t xml:space="preserve">工程別の全内訳（分）の表は</t>
    </r>
    <r>
      <rPr>
        <sz val="9"/>
        <rFont val="Meiryo UI"/>
        <family val="0"/>
        <charset val="1"/>
      </rPr>
      <t xml:space="preserve">1-3</t>
    </r>
    <r>
      <rPr>
        <sz val="9"/>
        <rFont val="Noto Sans CJK SC"/>
        <family val="2"/>
      </rPr>
      <t xml:space="preserve">【現状の投入工程と工程別のボトルネック】にある（</t>
    </r>
    <r>
      <rPr>
        <sz val="9"/>
        <rFont val="Meiryo UI"/>
        <family val="0"/>
        <charset val="1"/>
      </rPr>
      <t xml:space="preserve">2-1</t>
    </r>
    <r>
      <rPr>
        <sz val="9"/>
        <rFont val="Noto Sans CJK SC"/>
        <family val="2"/>
      </rPr>
      <t xml:space="preserve">は図）。</t>
    </r>
  </si>
  <si>
    <r>
      <rPr>
        <sz val="9"/>
        <rFont val="Noto Sans CJK SC"/>
        <family val="2"/>
      </rPr>
      <t xml:space="preserve">「（全内訳は</t>
    </r>
    <r>
      <rPr>
        <sz val="9"/>
        <rFont val="Meiryo UI"/>
        <family val="0"/>
        <charset val="1"/>
      </rPr>
      <t xml:space="preserve">1-3</t>
    </r>
    <r>
      <rPr>
        <sz val="9"/>
        <rFont val="Noto Sans CJK SC"/>
        <family val="2"/>
      </rPr>
      <t xml:space="preserve">の表・</t>
    </r>
    <r>
      <rPr>
        <sz val="9"/>
        <rFont val="Meiryo UI"/>
        <family val="0"/>
        <charset val="1"/>
      </rPr>
      <t xml:space="preserve">2-1</t>
    </r>
    <r>
      <rPr>
        <sz val="9"/>
        <rFont val="Noto Sans CJK SC"/>
        <family val="2"/>
      </rPr>
      <t xml:space="preserve">の図）」</t>
    </r>
  </si>
  <si>
    <t xml:space="preserve">数値・計算</t>
  </si>
  <si>
    <r>
      <rPr>
        <sz val="9"/>
        <rFont val="Meiryo UI"/>
        <family val="0"/>
        <charset val="1"/>
      </rPr>
      <t xml:space="preserve">1-2</t>
    </r>
    <r>
      <rPr>
        <sz val="9"/>
        <rFont val="Noto Sans CJK SC"/>
        <family val="2"/>
      </rPr>
      <t xml:space="preserve">課題①、</t>
    </r>
    <r>
      <rPr>
        <sz val="9"/>
        <rFont val="Meiryo UI"/>
        <family val="0"/>
        <charset val="1"/>
      </rPr>
      <t xml:space="preserve">1-3</t>
    </r>
    <r>
      <rPr>
        <sz val="9"/>
        <rFont val="Noto Sans CJK SC"/>
        <family val="2"/>
      </rPr>
      <t xml:space="preserve">表⑥、その３（別紙２）、図（パウチ供給工程）</t>
    </r>
  </si>
  <si>
    <r>
      <rPr>
        <sz val="9"/>
        <rFont val="Noto Sans CJK SC"/>
        <family val="2"/>
      </rPr>
      <t xml:space="preserve">「手投入</t>
    </r>
    <r>
      <rPr>
        <sz val="9"/>
        <rFont val="Meiryo UI"/>
        <family val="0"/>
        <charset val="1"/>
      </rPr>
      <t xml:space="preserve">315</t>
    </r>
    <r>
      <rPr>
        <sz val="9"/>
        <rFont val="Noto Sans CJK SC"/>
        <family val="2"/>
      </rPr>
      <t xml:space="preserve">分（</t>
    </r>
    <r>
      <rPr>
        <sz val="9"/>
        <rFont val="Meiryo UI"/>
        <family val="0"/>
        <charset val="1"/>
      </rPr>
      <t xml:space="preserve">2.4</t>
    </r>
    <r>
      <rPr>
        <sz val="9"/>
        <rFont val="Noto Sans CJK SC"/>
        <family val="2"/>
      </rPr>
      <t xml:space="preserve">分</t>
    </r>
    <r>
      <rPr>
        <sz val="9"/>
        <rFont val="Meiryo UI"/>
        <family val="0"/>
        <charset val="1"/>
      </rPr>
      <t xml:space="preserve">×131</t>
    </r>
    <r>
      <rPr>
        <sz val="9"/>
        <rFont val="Noto Sans CJK SC"/>
        <family val="2"/>
      </rPr>
      <t xml:space="preserve">回）」</t>
    </r>
  </si>
  <si>
    <r>
      <rPr>
        <sz val="9"/>
        <rFont val="Meiryo UI"/>
        <family val="0"/>
        <charset val="1"/>
      </rPr>
      <t xml:space="preserve">2.4×131</t>
    </r>
    <r>
      <rPr>
        <sz val="9"/>
        <rFont val="Noto Sans CJK SC"/>
        <family val="2"/>
      </rPr>
      <t xml:space="preserve">＝</t>
    </r>
    <r>
      <rPr>
        <sz val="9"/>
        <rFont val="Meiryo UI"/>
        <family val="0"/>
        <charset val="1"/>
      </rPr>
      <t xml:space="preserve">314.4</t>
    </r>
    <r>
      <rPr>
        <sz val="9"/>
        <rFont val="Noto Sans CJK SC"/>
        <family val="2"/>
      </rPr>
      <t xml:space="preserve">分。</t>
    </r>
    <r>
      <rPr>
        <sz val="9"/>
        <rFont val="Meiryo UI"/>
        <family val="0"/>
        <charset val="1"/>
      </rPr>
      <t xml:space="preserve">315</t>
    </r>
    <r>
      <rPr>
        <sz val="9"/>
        <rFont val="Noto Sans CJK SC"/>
        <family val="2"/>
      </rPr>
      <t xml:space="preserve">分は</t>
    </r>
    <r>
      <rPr>
        <sz val="9"/>
        <rFont val="Meiryo UI"/>
        <family val="0"/>
        <charset val="1"/>
      </rPr>
      <t xml:space="preserve">1,050</t>
    </r>
    <r>
      <rPr>
        <sz val="9"/>
        <rFont val="Noto Sans CJK SC"/>
        <family val="2"/>
      </rPr>
      <t xml:space="preserve">分</t>
    </r>
    <r>
      <rPr>
        <sz val="9"/>
        <rFont val="Meiryo UI"/>
        <family val="0"/>
        <charset val="1"/>
      </rPr>
      <t xml:space="preserve">÷8</t>
    </r>
    <r>
      <rPr>
        <sz val="9"/>
        <rFont val="Noto Sans CJK SC"/>
        <family val="2"/>
      </rPr>
      <t xml:space="preserve">分＝</t>
    </r>
    <r>
      <rPr>
        <sz val="9"/>
        <rFont val="Meiryo UI"/>
        <family val="0"/>
        <charset val="1"/>
      </rPr>
      <t xml:space="preserve">131.25</t>
    </r>
    <r>
      <rPr>
        <sz val="9"/>
        <rFont val="Noto Sans CJK SC"/>
        <family val="2"/>
      </rPr>
      <t xml:space="preserve">回で計算した値（⑤も</t>
    </r>
    <r>
      <rPr>
        <sz val="9"/>
        <rFont val="Meiryo UI"/>
        <family val="0"/>
        <charset val="1"/>
      </rPr>
      <t xml:space="preserve">0.6×131.25</t>
    </r>
    <r>
      <rPr>
        <sz val="9"/>
        <rFont val="Noto Sans CJK SC"/>
        <family val="2"/>
      </rPr>
      <t xml:space="preserve">＝</t>
    </r>
    <r>
      <rPr>
        <sz val="9"/>
        <rFont val="Meiryo UI"/>
        <family val="0"/>
        <charset val="1"/>
      </rPr>
      <t xml:space="preserve">78.75→79</t>
    </r>
    <r>
      <rPr>
        <sz val="9"/>
        <rFont val="Noto Sans CJK SC"/>
        <family val="2"/>
      </rPr>
      <t xml:space="preserve">分）。</t>
    </r>
  </si>
  <si>
    <r>
      <rPr>
        <sz val="9"/>
        <rFont val="Noto Sans CJK SC"/>
        <family val="2"/>
      </rPr>
      <t xml:space="preserve">「</t>
    </r>
    <r>
      <rPr>
        <sz val="9"/>
        <rFont val="Meiryo UI"/>
        <family val="0"/>
        <charset val="1"/>
      </rPr>
      <t xml:space="preserve">2.4</t>
    </r>
    <r>
      <rPr>
        <sz val="9"/>
        <rFont val="Noto Sans CJK SC"/>
        <family val="2"/>
      </rPr>
      <t xml:space="preserve">分</t>
    </r>
    <r>
      <rPr>
        <sz val="9"/>
        <rFont val="Meiryo UI"/>
        <family val="0"/>
        <charset val="1"/>
      </rPr>
      <t xml:space="preserve">×</t>
    </r>
    <r>
      <rPr>
        <sz val="9"/>
        <rFont val="Noto Sans CJK SC"/>
        <family val="2"/>
      </rPr>
      <t xml:space="preserve">約</t>
    </r>
    <r>
      <rPr>
        <sz val="9"/>
        <rFont val="Meiryo UI"/>
        <family val="0"/>
        <charset val="1"/>
      </rPr>
      <t xml:space="preserve">131</t>
    </r>
    <r>
      <rPr>
        <sz val="9"/>
        <rFont val="Noto Sans CJK SC"/>
        <family val="2"/>
      </rPr>
      <t xml:space="preserve">回（</t>
    </r>
    <r>
      <rPr>
        <sz val="9"/>
        <rFont val="Meiryo UI"/>
        <family val="0"/>
        <charset val="1"/>
      </rPr>
      <t xml:space="preserve">1,050</t>
    </r>
    <r>
      <rPr>
        <sz val="9"/>
        <rFont val="Noto Sans CJK SC"/>
        <family val="2"/>
      </rPr>
      <t xml:space="preserve">分</t>
    </r>
    <r>
      <rPr>
        <sz val="9"/>
        <rFont val="Meiryo UI"/>
        <family val="0"/>
        <charset val="1"/>
      </rPr>
      <t xml:space="preserve">÷8</t>
    </r>
    <r>
      <rPr>
        <sz val="9"/>
        <rFont val="Noto Sans CJK SC"/>
        <family val="2"/>
      </rPr>
      <t xml:space="preserve">分＝</t>
    </r>
    <r>
      <rPr>
        <sz val="9"/>
        <rFont val="Meiryo UI"/>
        <family val="0"/>
        <charset val="1"/>
      </rPr>
      <t xml:space="preserve">131.25</t>
    </r>
    <r>
      <rPr>
        <sz val="9"/>
        <rFont val="Noto Sans CJK SC"/>
        <family val="2"/>
      </rPr>
      <t xml:space="preserve">回）」のように「約」と算式を明記する。</t>
    </r>
  </si>
  <si>
    <t xml:space="preserve">誤字脱字</t>
  </si>
  <si>
    <r>
      <rPr>
        <sz val="9"/>
        <rFont val="Meiryo UI"/>
        <family val="0"/>
        <charset val="1"/>
      </rPr>
      <t xml:space="preserve">1-2②</t>
    </r>
    <r>
      <rPr>
        <sz val="9"/>
        <rFont val="Noto Sans CJK SC"/>
        <family val="2"/>
      </rPr>
      <t xml:space="preserve">課題②</t>
    </r>
  </si>
  <si>
    <t xml:space="preserve">「背景は労働市場にあり、、富山県の有効求人倍率は…」</t>
  </si>
  <si>
    <t xml:space="preserve">読点が重複している。</t>
  </si>
  <si>
    <t xml:space="preserve">「背景は労働市場にあり、富山県の…」</t>
  </si>
  <si>
    <t xml:space="preserve">図・相互参照</t>
  </si>
  <si>
    <t xml:space="preserve">その１その２／図</t>
  </si>
  <si>
    <r>
      <rPr>
        <sz val="9"/>
        <rFont val="Meiryo UI"/>
        <family val="0"/>
        <charset val="1"/>
      </rPr>
      <t xml:space="preserve">1-2</t>
    </r>
    <r>
      <rPr>
        <sz val="9"/>
        <rFont val="Noto Sans CJK SC"/>
        <family val="2"/>
      </rPr>
      <t xml:space="preserve">課題①の図「パウチとスパウト（ストロー）、製袋機で行う工程」</t>
    </r>
  </si>
  <si>
    <t xml:space="preserve">「本事業で自動化するのは、右図①の空パウチをマガジンへ入れる作業である」</t>
  </si>
  <si>
    <r>
      <rPr>
        <sz val="9"/>
        <rFont val="Noto Sans CJK SC"/>
        <family val="2"/>
      </rPr>
      <t xml:space="preserve">図の左側の写真にも「①完成品の例」があり、「①」が</t>
    </r>
    <r>
      <rPr>
        <sz val="9"/>
        <rFont val="Meiryo UI"/>
        <family val="0"/>
        <charset val="1"/>
      </rPr>
      <t xml:space="preserve">2</t>
    </r>
    <r>
      <rPr>
        <sz val="9"/>
        <rFont val="Noto Sans CJK SC"/>
        <family val="2"/>
      </rPr>
      <t xml:space="preserve">つある。</t>
    </r>
  </si>
  <si>
    <r>
      <rPr>
        <sz val="9"/>
        <rFont val="Noto Sans CJK SC"/>
        <family val="2"/>
      </rPr>
      <t xml:space="preserve">「右図（製袋機の工程）の①」と明記するか、写真側の番号を</t>
    </r>
    <r>
      <rPr>
        <sz val="9"/>
        <rFont val="Meiryo UI"/>
        <family val="0"/>
        <charset val="1"/>
      </rPr>
      <t xml:space="preserve">A</t>
    </r>
    <r>
      <rPr>
        <sz val="9"/>
        <rFont val="Noto Sans CJK SC"/>
        <family val="2"/>
      </rPr>
      <t xml:space="preserve">〜</t>
    </r>
    <r>
      <rPr>
        <sz val="9"/>
        <rFont val="Meiryo UI"/>
        <family val="0"/>
        <charset val="1"/>
      </rPr>
      <t xml:space="preserve">D</t>
    </r>
    <r>
      <rPr>
        <sz val="9"/>
        <rFont val="Noto Sans CJK SC"/>
        <family val="2"/>
      </rPr>
      <t xml:space="preserve">に変更する。</t>
    </r>
  </si>
  <si>
    <r>
      <rPr>
        <sz val="9"/>
        <rFont val="Noto Sans CJK SC"/>
        <family val="2"/>
      </rPr>
      <t xml:space="preserve">図元データ </t>
    </r>
    <r>
      <rPr>
        <sz val="9"/>
        <rFont val="Meiryo UI"/>
        <family val="0"/>
        <charset val="1"/>
      </rPr>
      <t xml:space="preserve">pptx v3 p.3</t>
    </r>
  </si>
  <si>
    <t xml:space="preserve">表現</t>
  </si>
  <si>
    <r>
      <rPr>
        <sz val="9"/>
        <rFont val="Meiryo UI"/>
        <family val="0"/>
        <charset val="1"/>
      </rPr>
      <t xml:space="preserve">1-3①</t>
    </r>
    <r>
      <rPr>
        <sz val="9"/>
        <rFont val="Noto Sans CJK SC"/>
        <family val="2"/>
      </rPr>
      <t xml:space="preserve">【投入作業のサイクル】の説明文</t>
    </r>
  </si>
  <si>
    <r>
      <rPr>
        <sz val="9"/>
        <rFont val="Noto Sans CJK SC"/>
        <family val="2"/>
      </rPr>
      <t xml:space="preserve">「下段の導入後は、約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回・約</t>
    </r>
    <r>
      <rPr>
        <sz val="9"/>
        <rFont val="Meiryo UI"/>
        <family val="0"/>
        <charset val="1"/>
      </rPr>
      <t xml:space="preserve">3</t>
    </r>
    <r>
      <rPr>
        <sz val="9"/>
        <rFont val="Noto Sans CJK SC"/>
        <family val="2"/>
      </rPr>
      <t xml:space="preserve">分のパレット入替だけになる」</t>
    </r>
  </si>
  <si>
    <r>
      <rPr>
        <sz val="9"/>
        <rFont val="Noto Sans CJK SC"/>
        <family val="2"/>
      </rPr>
      <t xml:space="preserve">導入後も詰め作業（</t>
    </r>
    <r>
      <rPr>
        <sz val="9"/>
        <rFont val="Meiryo UI"/>
        <family val="0"/>
        <charset val="1"/>
      </rPr>
      <t xml:space="preserve">209</t>
    </r>
    <r>
      <rPr>
        <sz val="9"/>
        <rFont val="Noto Sans CJK SC"/>
        <family val="2"/>
      </rPr>
      <t xml:space="preserve">分</t>
    </r>
    <r>
      <rPr>
        <sz val="9"/>
        <rFont val="Meiryo UI"/>
        <family val="0"/>
        <charset val="1"/>
      </rPr>
      <t xml:space="preserve">/</t>
    </r>
    <r>
      <rPr>
        <sz val="9"/>
        <rFont val="Noto Sans CJK SC"/>
        <family val="2"/>
      </rPr>
      <t xml:space="preserve">日）が残るため、「入替だけ」はやや過大な表現（</t>
    </r>
    <r>
      <rPr>
        <sz val="9"/>
        <rFont val="Meiryo UI"/>
        <family val="0"/>
        <charset val="1"/>
      </rPr>
      <t xml:space="preserve">No.12</t>
    </r>
    <r>
      <rPr>
        <sz val="9"/>
        <rFont val="Noto Sans CJK SC"/>
        <family val="2"/>
      </rPr>
      <t xml:space="preserve">の時間表現とも関連）。</t>
    </r>
  </si>
  <si>
    <r>
      <rPr>
        <sz val="9"/>
        <rFont val="Noto Sans CJK SC"/>
        <family val="2"/>
      </rPr>
      <t xml:space="preserve">「マガジン脇での作業は約</t>
    </r>
    <r>
      <rPr>
        <sz val="9"/>
        <rFont val="Meiryo UI"/>
        <family val="0"/>
        <charset val="1"/>
      </rPr>
      <t xml:space="preserve">2</t>
    </r>
    <r>
      <rPr>
        <sz val="9"/>
        <rFont val="Noto Sans CJK SC"/>
        <family val="2"/>
      </rPr>
      <t xml:space="preserve">〜</t>
    </r>
    <r>
      <rPr>
        <sz val="9"/>
        <rFont val="Meiryo UI"/>
        <family val="0"/>
        <charset val="1"/>
      </rPr>
      <t xml:space="preserve">3</t>
    </r>
    <r>
      <rPr>
        <sz val="9"/>
        <rFont val="Noto Sans CJK SC"/>
        <family val="2"/>
      </rPr>
      <t xml:space="preserve">時間に</t>
    </r>
    <r>
      <rPr>
        <sz val="9"/>
        <rFont val="Meiryo UI"/>
        <family val="0"/>
        <charset val="1"/>
      </rPr>
      <t xml:space="preserve">1</t>
    </r>
    <r>
      <rPr>
        <sz val="9"/>
        <rFont val="Noto Sans CJK SC"/>
        <family val="2"/>
      </rPr>
      <t xml:space="preserve">回・約</t>
    </r>
    <r>
      <rPr>
        <sz val="9"/>
        <rFont val="Meiryo UI"/>
        <family val="0"/>
        <charset val="1"/>
      </rPr>
      <t xml:space="preserve">3</t>
    </r>
    <r>
      <rPr>
        <sz val="9"/>
        <rFont val="Noto Sans CJK SC"/>
        <family val="2"/>
      </rPr>
      <t xml:space="preserve">分のパレット入替だけになる（詰めは床でまとめて実施）」</t>
    </r>
  </si>
  <si>
    <t xml:space="preserve">前提の統一</t>
  </si>
  <si>
    <r>
      <rPr>
        <sz val="9"/>
        <rFont val="Meiryo UI"/>
        <family val="0"/>
        <charset val="1"/>
      </rPr>
      <t xml:space="preserve">1-3</t>
    </r>
    <r>
      <rPr>
        <sz val="9"/>
        <rFont val="Noto Sans CJK SC"/>
        <family val="2"/>
      </rPr>
      <t xml:space="preserve">表②③、その３（別紙２）（搬入・開梱・片付け）</t>
    </r>
  </si>
  <si>
    <r>
      <rPr>
        <sz val="9"/>
        <rFont val="Noto Sans CJK SC"/>
        <family val="2"/>
      </rPr>
      <t xml:space="preserve">「段ボールの開梱・束の取り出し（</t>
    </r>
    <r>
      <rPr>
        <sz val="9"/>
        <rFont val="Meiryo UI"/>
        <family val="0"/>
        <charset val="1"/>
      </rPr>
      <t xml:space="preserve">43</t>
    </r>
    <r>
      <rPr>
        <sz val="9"/>
        <rFont val="Noto Sans CJK SC"/>
        <family val="2"/>
      </rPr>
      <t xml:space="preserve">箱</t>
    </r>
    <r>
      <rPr>
        <sz val="9"/>
        <rFont val="Meiryo UI"/>
        <family val="0"/>
        <charset val="1"/>
      </rPr>
      <t xml:space="preserve">×1</t>
    </r>
    <r>
      <rPr>
        <sz val="9"/>
        <rFont val="Noto Sans CJK SC"/>
        <family val="2"/>
      </rPr>
      <t xml:space="preserve">分）」</t>
    </r>
  </si>
  <si>
    <r>
      <rPr>
        <sz val="9"/>
        <rFont val="Meiryo UI"/>
        <family val="0"/>
        <charset val="1"/>
      </rPr>
      <t xml:space="preserve">43</t>
    </r>
    <r>
      <rPr>
        <sz val="9"/>
        <rFont val="Noto Sans CJK SC"/>
        <family val="2"/>
      </rPr>
      <t xml:space="preserve">箱（</t>
    </r>
    <r>
      <rPr>
        <sz val="9"/>
        <rFont val="Meiryo UI"/>
        <family val="0"/>
        <charset val="1"/>
      </rPr>
      <t xml:space="preserve">1</t>
    </r>
    <r>
      <rPr>
        <sz val="9"/>
        <rFont val="Noto Sans CJK SC"/>
        <family val="2"/>
      </rPr>
      <t xml:space="preserve">箱</t>
    </r>
    <r>
      <rPr>
        <sz val="9"/>
        <rFont val="Meiryo UI"/>
        <family val="0"/>
        <charset val="1"/>
      </rPr>
      <t xml:space="preserve">3,000</t>
    </r>
    <r>
      <rPr>
        <sz val="9"/>
        <rFont val="Noto Sans CJK SC"/>
        <family val="2"/>
      </rPr>
      <t xml:space="preserve">〜</t>
    </r>
    <r>
      <rPr>
        <sz val="9"/>
        <rFont val="Meiryo UI"/>
        <family val="0"/>
        <charset val="1"/>
      </rPr>
      <t xml:space="preserve">4,000</t>
    </r>
    <r>
      <rPr>
        <sz val="9"/>
        <rFont val="Noto Sans CJK SC"/>
        <family val="2"/>
      </rPr>
      <t xml:space="preserve">袋）は約</t>
    </r>
    <r>
      <rPr>
        <sz val="9"/>
        <rFont val="Meiryo UI"/>
        <family val="0"/>
        <charset val="1"/>
      </rPr>
      <t xml:space="preserve">15</t>
    </r>
    <r>
      <rPr>
        <sz val="9"/>
        <rFont val="Noto Sans CJK SC"/>
        <family val="2"/>
      </rPr>
      <t xml:space="preserve">万袋＝</t>
    </r>
    <r>
      <rPr>
        <sz val="9"/>
        <rFont val="Meiryo UI"/>
        <family val="0"/>
        <charset val="1"/>
      </rPr>
      <t xml:space="preserve">1</t>
    </r>
    <r>
      <rPr>
        <sz val="9"/>
        <rFont val="Noto Sans CJK SC"/>
        <family val="2"/>
      </rPr>
      <t xml:space="preserve">品種の日相当で、</t>
    </r>
    <r>
      <rPr>
        <sz val="9"/>
        <rFont val="Meiryo UI"/>
        <family val="0"/>
        <charset val="1"/>
      </rPr>
      <t xml:space="preserve">2-1</t>
    </r>
    <r>
      <rPr>
        <sz val="9"/>
        <rFont val="Noto Sans CJK SC"/>
        <family val="2"/>
      </rPr>
      <t xml:space="preserve">で比較の前提とする「</t>
    </r>
    <r>
      <rPr>
        <sz val="9"/>
        <rFont val="Meiryo UI"/>
        <family val="0"/>
        <charset val="1"/>
      </rPr>
      <t xml:space="preserve">1</t>
    </r>
    <r>
      <rPr>
        <sz val="9"/>
        <rFont val="Noto Sans CJK SC"/>
        <family val="2"/>
      </rPr>
      <t xml:space="preserve">品種の日と</t>
    </r>
    <r>
      <rPr>
        <sz val="9"/>
        <rFont val="Meiryo UI"/>
        <family val="0"/>
        <charset val="1"/>
      </rPr>
      <t xml:space="preserve">2</t>
    </r>
    <r>
      <rPr>
        <sz val="9"/>
        <rFont val="Noto Sans CJK SC"/>
        <family val="2"/>
      </rPr>
      <t xml:space="preserve">品種の日の平均（</t>
    </r>
    <r>
      <rPr>
        <sz val="9"/>
        <rFont val="Meiryo UI"/>
        <family val="0"/>
        <charset val="1"/>
      </rPr>
      <t xml:space="preserve">12.5</t>
    </r>
    <r>
      <rPr>
        <sz val="9"/>
        <rFont val="Noto Sans CJK SC"/>
        <family val="2"/>
      </rPr>
      <t xml:space="preserve">万袋≒</t>
    </r>
    <r>
      <rPr>
        <sz val="9"/>
        <rFont val="Meiryo UI"/>
        <family val="0"/>
        <charset val="1"/>
      </rPr>
      <t xml:space="preserve">36</t>
    </r>
    <r>
      <rPr>
        <sz val="9"/>
        <rFont val="Noto Sans CJK SC"/>
        <family val="2"/>
      </rPr>
      <t xml:space="preserve">箱）」と揃っていない。
※拘束時間の内訳のため、箱数を変えてもほぐし（残余）が増減するだけで、削減時間</t>
    </r>
    <r>
      <rPr>
        <sz val="9"/>
        <rFont val="Meiryo UI"/>
        <family val="0"/>
        <charset val="1"/>
      </rPr>
      <t xml:space="preserve">1,030</t>
    </r>
    <r>
      <rPr>
        <sz val="9"/>
        <rFont val="Noto Sans CJK SC"/>
        <family val="2"/>
      </rPr>
      <t xml:space="preserve">分・省力化指数は変わらない。</t>
    </r>
  </si>
  <si>
    <r>
      <rPr>
        <sz val="9"/>
        <rFont val="Noto Sans CJK SC"/>
        <family val="2"/>
      </rPr>
      <t xml:space="preserve">注記で「現状の内訳は</t>
    </r>
    <r>
      <rPr>
        <sz val="9"/>
        <rFont val="Meiryo UI"/>
        <family val="0"/>
        <charset val="1"/>
      </rPr>
      <t xml:space="preserve">1</t>
    </r>
    <r>
      <rPr>
        <sz val="9"/>
        <rFont val="Noto Sans CJK SC"/>
        <family val="2"/>
      </rPr>
      <t xml:space="preserve">品種の日（フル稼働）ベース。拘束時間</t>
    </r>
    <r>
      <rPr>
        <sz val="9"/>
        <rFont val="Meiryo UI"/>
        <family val="0"/>
        <charset val="1"/>
      </rPr>
      <t xml:space="preserve">1,050</t>
    </r>
    <r>
      <rPr>
        <sz val="9"/>
        <rFont val="Noto Sans CJK SC"/>
        <family val="2"/>
      </rPr>
      <t xml:space="preserve">分は品種数に関わらず同じ」と明記する（</t>
    </r>
    <r>
      <rPr>
        <sz val="9"/>
        <rFont val="Meiryo UI"/>
        <family val="0"/>
        <charset val="1"/>
      </rPr>
      <t xml:space="preserve">No.5</t>
    </r>
    <r>
      <rPr>
        <sz val="9"/>
        <rFont val="Noto Sans CJK SC"/>
        <family val="2"/>
      </rPr>
      <t xml:space="preserve">と一体で修正）。</t>
    </r>
  </si>
  <si>
    <r>
      <rPr>
        <sz val="9"/>
        <rFont val="Noto Sans CJK SC"/>
        <family val="2"/>
      </rPr>
      <t xml:space="preserve">ヒアリングリスト</t>
    </r>
    <r>
      <rPr>
        <sz val="9"/>
        <rFont val="Meiryo UI"/>
        <family val="0"/>
        <charset val="1"/>
      </rPr>
      <t xml:space="preserve">v5</t>
    </r>
    <r>
      <rPr>
        <sz val="9"/>
        <rFont val="Noto Sans CJK SC"/>
        <family val="2"/>
      </rPr>
      <t xml:space="preserve">（</t>
    </r>
    <r>
      <rPr>
        <sz val="9"/>
        <rFont val="Meiryo UI"/>
        <family val="0"/>
        <charset val="1"/>
      </rPr>
      <t xml:space="preserve">1</t>
    </r>
    <r>
      <rPr>
        <sz val="9"/>
        <rFont val="Noto Sans CJK SC"/>
        <family val="2"/>
      </rPr>
      <t xml:space="preserve">箱</t>
    </r>
    <r>
      <rPr>
        <sz val="9"/>
        <rFont val="Meiryo UI"/>
        <family val="0"/>
        <charset val="1"/>
      </rPr>
      <t xml:space="preserve">3,000</t>
    </r>
    <r>
      <rPr>
        <sz val="9"/>
        <rFont val="Noto Sans CJK SC"/>
        <family val="2"/>
      </rPr>
      <t xml:space="preserve">〜</t>
    </r>
    <r>
      <rPr>
        <sz val="9"/>
        <rFont val="Meiryo UI"/>
        <family val="0"/>
        <charset val="1"/>
      </rPr>
      <t xml:space="preserve">4,000</t>
    </r>
    <r>
      <rPr>
        <sz val="9"/>
        <rFont val="Noto Sans CJK SC"/>
        <family val="2"/>
      </rPr>
      <t xml:space="preserve">枚）</t>
    </r>
  </si>
  <si>
    <r>
      <rPr>
        <sz val="9"/>
        <rFont val="Meiryo UI"/>
        <family val="0"/>
        <charset val="1"/>
      </rPr>
      <t xml:space="preserve">2</t>
    </r>
    <r>
      <rPr>
        <sz val="9"/>
        <rFont val="Noto Sans CJK SC"/>
        <family val="2"/>
      </rPr>
      <t xml:space="preserve">章②表の注記</t>
    </r>
  </si>
  <si>
    <r>
      <rPr>
        <sz val="9"/>
        <rFont val="Noto Sans CJK SC"/>
        <family val="2"/>
      </rPr>
      <t xml:space="preserve">「※</t>
    </r>
    <r>
      <rPr>
        <sz val="9"/>
        <rFont val="Meiryo UI"/>
        <family val="0"/>
        <charset val="1"/>
      </rPr>
      <t xml:space="preserve">1</t>
    </r>
    <r>
      <rPr>
        <sz val="9"/>
        <rFont val="Noto Sans CJK SC"/>
        <family val="2"/>
      </rPr>
      <t xml:space="preserve">〜</t>
    </r>
    <r>
      <rPr>
        <sz val="9"/>
        <rFont val="Meiryo UI"/>
        <family val="0"/>
        <charset val="1"/>
      </rPr>
      <t xml:space="preserve">6</t>
    </r>
    <r>
      <rPr>
        <sz val="9"/>
        <rFont val="Noto Sans CJK SC"/>
        <family val="2"/>
      </rPr>
      <t xml:space="preserve">は一体で機能する</t>
    </r>
    <r>
      <rPr>
        <sz val="9"/>
        <rFont val="Meiryo UI"/>
        <family val="0"/>
        <charset val="1"/>
      </rPr>
      <t xml:space="preserve">1</t>
    </r>
    <r>
      <rPr>
        <sz val="9"/>
        <rFont val="Noto Sans CJK SC"/>
        <family val="2"/>
      </rPr>
      <t xml:space="preserve">式の設備で、型番は無い（当社専用設計）」</t>
    </r>
  </si>
  <si>
    <r>
      <rPr>
        <sz val="9"/>
        <rFont val="Meiryo UI"/>
        <family val="0"/>
        <charset val="1"/>
      </rPr>
      <t xml:space="preserve">No.4</t>
    </r>
    <r>
      <rPr>
        <sz val="9"/>
        <rFont val="Noto Sans CJK SC"/>
        <family val="2"/>
      </rPr>
      <t xml:space="preserve">（輸送費）・</t>
    </r>
    <r>
      <rPr>
        <sz val="9"/>
        <rFont val="Meiryo UI"/>
        <family val="0"/>
        <charset val="1"/>
      </rPr>
      <t xml:space="preserve">No.6</t>
    </r>
    <r>
      <rPr>
        <sz val="9"/>
        <rFont val="Noto Sans CJK SC"/>
        <family val="2"/>
      </rPr>
      <t xml:space="preserve">（工事費）は設備ではない（</t>
    </r>
    <r>
      <rPr>
        <sz val="9"/>
        <rFont val="Meiryo UI"/>
        <family val="0"/>
        <charset val="1"/>
      </rPr>
      <t xml:space="preserve">No.2</t>
    </r>
    <r>
      <rPr>
        <sz val="9"/>
        <rFont val="Noto Sans CJK SC"/>
        <family val="2"/>
      </rPr>
      <t xml:space="preserve">の対象外経費の切り分けとも関連）。</t>
    </r>
  </si>
  <si>
    <r>
      <rPr>
        <sz val="9"/>
        <rFont val="Noto Sans CJK SC"/>
        <family val="2"/>
      </rPr>
      <t xml:space="preserve">「</t>
    </r>
    <r>
      <rPr>
        <sz val="9"/>
        <rFont val="Meiryo UI"/>
        <family val="0"/>
        <charset val="1"/>
      </rPr>
      <t xml:space="preserve">No.1</t>
    </r>
    <r>
      <rPr>
        <sz val="9"/>
        <rFont val="Noto Sans CJK SC"/>
        <family val="2"/>
      </rPr>
      <t xml:space="preserve">〜</t>
    </r>
    <r>
      <rPr>
        <sz val="9"/>
        <rFont val="Meiryo UI"/>
        <family val="0"/>
        <charset val="1"/>
      </rPr>
      <t xml:space="preserve">3</t>
    </r>
    <r>
      <rPr>
        <sz val="9"/>
        <rFont val="Noto Sans CJK SC"/>
        <family val="2"/>
      </rPr>
      <t xml:space="preserve">・</t>
    </r>
    <r>
      <rPr>
        <sz val="9"/>
        <rFont val="Meiryo UI"/>
        <family val="0"/>
        <charset val="1"/>
      </rPr>
      <t xml:space="preserve">5</t>
    </r>
    <r>
      <rPr>
        <sz val="9"/>
        <rFont val="Noto Sans CJK SC"/>
        <family val="2"/>
      </rPr>
      <t xml:space="preserve">は一体で機能する</t>
    </r>
    <r>
      <rPr>
        <sz val="9"/>
        <rFont val="Meiryo UI"/>
        <family val="0"/>
        <charset val="1"/>
      </rPr>
      <t xml:space="preserve">1</t>
    </r>
    <r>
      <rPr>
        <sz val="9"/>
        <rFont val="Noto Sans CJK SC"/>
        <family val="2"/>
      </rPr>
      <t xml:space="preserve">式の設備（型番なし、当社専用設計）。</t>
    </r>
    <r>
      <rPr>
        <sz val="9"/>
        <rFont val="Meiryo UI"/>
        <family val="0"/>
        <charset val="1"/>
      </rPr>
      <t xml:space="preserve">No.4</t>
    </r>
    <r>
      <rPr>
        <sz val="9"/>
        <rFont val="Noto Sans CJK SC"/>
        <family val="2"/>
      </rPr>
      <t xml:space="preserve">・</t>
    </r>
    <r>
      <rPr>
        <sz val="9"/>
        <rFont val="Meiryo UI"/>
        <family val="0"/>
        <charset val="1"/>
      </rPr>
      <t xml:space="preserve">6</t>
    </r>
    <r>
      <rPr>
        <sz val="9"/>
        <rFont val="Noto Sans CJK SC"/>
        <family val="2"/>
      </rPr>
      <t xml:space="preserve">はその輸送・据付に係る費用」</t>
    </r>
  </si>
  <si>
    <t xml:space="preserve">数値の定義</t>
  </si>
  <si>
    <r>
      <rPr>
        <sz val="9"/>
        <rFont val="Meiryo UI"/>
        <family val="0"/>
        <charset val="1"/>
      </rPr>
      <t xml:space="preserve">1-3</t>
    </r>
    <r>
      <rPr>
        <sz val="9"/>
        <rFont val="Noto Sans CJK SC"/>
        <family val="2"/>
      </rPr>
      <t xml:space="preserve">〔解消すれば何が変わるか〕</t>
    </r>
    <r>
      <rPr>
        <sz val="9"/>
        <rFont val="Meiryo UI"/>
        <family val="0"/>
        <charset val="1"/>
      </rPr>
      <t xml:space="preserve">B3</t>
    </r>
    <r>
      <rPr>
        <sz val="9"/>
        <rFont val="Noto Sans CJK SC"/>
        <family val="2"/>
      </rPr>
      <t xml:space="preserve">、</t>
    </r>
    <r>
      <rPr>
        <sz val="9"/>
        <rFont val="Meiryo UI"/>
        <family val="0"/>
        <charset val="1"/>
      </rPr>
      <t xml:space="preserve">2</t>
    </r>
    <r>
      <rPr>
        <sz val="9"/>
        <rFont val="Noto Sans CJK SC"/>
        <family val="2"/>
      </rPr>
      <t xml:space="preserve">章①表、</t>
    </r>
    <r>
      <rPr>
        <sz val="9"/>
        <rFont val="Meiryo UI"/>
        <family val="0"/>
        <charset val="1"/>
      </rPr>
      <t xml:space="preserve">2-1③</t>
    </r>
  </si>
  <si>
    <r>
      <rPr>
        <sz val="9"/>
        <rFont val="Noto Sans CJK SC"/>
        <family val="2"/>
      </rPr>
      <t xml:space="preserve">「中番の投入パートに</t>
    </r>
    <r>
      <rPr>
        <sz val="9"/>
        <rFont val="Meiryo UI"/>
        <family val="0"/>
        <charset val="1"/>
      </rPr>
      <t xml:space="preserve">1</t>
    </r>
    <r>
      <rPr>
        <sz val="9"/>
        <rFont val="Noto Sans CJK SC"/>
        <family val="2"/>
      </rPr>
      <t xml:space="preserve">日</t>
    </r>
    <r>
      <rPr>
        <sz val="9"/>
        <rFont val="Meiryo UI"/>
        <family val="0"/>
        <charset val="1"/>
      </rPr>
      <t xml:space="preserve">380</t>
    </r>
    <r>
      <rPr>
        <sz val="9"/>
        <rFont val="Noto Sans CJK SC"/>
        <family val="2"/>
      </rPr>
      <t xml:space="preserve">〜</t>
    </r>
    <r>
      <rPr>
        <sz val="9"/>
        <rFont val="Meiryo UI"/>
        <family val="0"/>
        <charset val="1"/>
      </rPr>
      <t xml:space="preserve">462</t>
    </r>
    <r>
      <rPr>
        <sz val="9"/>
        <rFont val="Noto Sans CJK SC"/>
        <family val="2"/>
      </rPr>
      <t xml:space="preserve">分の余力」「</t>
    </r>
    <r>
      <rPr>
        <sz val="9"/>
        <rFont val="Meiryo UI"/>
        <family val="0"/>
        <charset val="1"/>
      </rPr>
      <t xml:space="preserve">380</t>
    </r>
    <r>
      <rPr>
        <sz val="9"/>
        <rFont val="Noto Sans CJK SC"/>
        <family val="2"/>
      </rPr>
      <t xml:space="preserve">〜</t>
    </r>
    <r>
      <rPr>
        <sz val="9"/>
        <rFont val="Meiryo UI"/>
        <family val="0"/>
        <charset val="1"/>
      </rPr>
      <t xml:space="preserve">462</t>
    </r>
    <r>
      <rPr>
        <sz val="9"/>
        <rFont val="Noto Sans CJK SC"/>
        <family val="2"/>
      </rPr>
      <t xml:space="preserve">分を多能工化に充てる」</t>
    </r>
  </si>
  <si>
    <r>
      <rPr>
        <sz val="9"/>
        <rFont val="Meiryo UI"/>
        <family val="0"/>
        <charset val="1"/>
      </rPr>
      <t xml:space="preserve">380/462</t>
    </r>
    <r>
      <rPr>
        <sz val="9"/>
        <rFont val="Noto Sans CJK SC"/>
        <family val="2"/>
      </rPr>
      <t xml:space="preserve">分は搬入・入替・型替え（計</t>
    </r>
    <r>
      <rPr>
        <sz val="9"/>
        <rFont val="Meiryo UI"/>
        <family val="0"/>
        <charset val="1"/>
      </rPr>
      <t xml:space="preserve">20</t>
    </r>
    <r>
      <rPr>
        <sz val="9"/>
        <rFont val="Noto Sans CJK SC"/>
        <family val="2"/>
      </rPr>
      <t xml:space="preserve">〜</t>
    </r>
    <r>
      <rPr>
        <sz val="9"/>
        <rFont val="Meiryo UI"/>
        <family val="0"/>
        <charset val="1"/>
      </rPr>
      <t xml:space="preserve">46</t>
    </r>
    <r>
      <rPr>
        <sz val="9"/>
        <rFont val="Noto Sans CJK SC"/>
        <family val="2"/>
      </rPr>
      <t xml:space="preserve">分）を差し引く前の値（差引後の創出は全体で</t>
    </r>
    <r>
      <rPr>
        <sz val="9"/>
        <rFont val="Meiryo UI"/>
        <family val="0"/>
        <charset val="1"/>
      </rPr>
      <t xml:space="preserve">762/836</t>
    </r>
    <r>
      <rPr>
        <sz val="9"/>
        <rFont val="Noto Sans CJK SC"/>
        <family val="2"/>
      </rPr>
      <t xml:space="preserve">分）。</t>
    </r>
  </si>
  <si>
    <t xml:space="preserve">「（搬入・入替等を差し引く前）」と注記するか、差引後の値を併記する。</t>
  </si>
  <si>
    <r>
      <rPr>
        <sz val="9"/>
        <rFont val="Noto Sans CJK SC"/>
        <family val="2"/>
      </rPr>
      <t xml:space="preserve">図元データ </t>
    </r>
    <r>
      <rPr>
        <sz val="9"/>
        <rFont val="Meiryo UI"/>
        <family val="0"/>
        <charset val="1"/>
      </rPr>
      <t xml:space="preserve">pptx v3 p.8</t>
    </r>
  </si>
  <si>
    <r>
      <rPr>
        <sz val="9"/>
        <rFont val="Meiryo UI"/>
        <family val="0"/>
        <charset val="1"/>
      </rPr>
      <t xml:space="preserve">SWOT</t>
    </r>
    <r>
      <rPr>
        <sz val="9"/>
        <rFont val="Noto Sans CJK SC"/>
        <family val="2"/>
      </rPr>
      <t xml:space="preserve">記号</t>
    </r>
  </si>
  <si>
    <r>
      <rPr>
        <sz val="9"/>
        <rFont val="Meiryo UI"/>
        <family val="0"/>
        <charset val="1"/>
      </rPr>
      <t xml:space="preserve">2-2①</t>
    </r>
    <r>
      <rPr>
        <sz val="9"/>
        <rFont val="Noto Sans CJK SC"/>
        <family val="2"/>
      </rPr>
      <t xml:space="preserve">副次効果③</t>
    </r>
  </si>
  <si>
    <r>
      <rPr>
        <sz val="9"/>
        <rFont val="Noto Sans CJK SC"/>
        <family val="2"/>
      </rPr>
      <t xml:space="preserve">「専用パレットへの詰めは誰でもでき、投入作業の属人性が解消する（</t>
    </r>
    <r>
      <rPr>
        <sz val="9"/>
        <rFont val="Meiryo UI"/>
        <family val="0"/>
        <charset val="1"/>
      </rPr>
      <t xml:space="preserve">W1</t>
    </r>
    <r>
      <rPr>
        <sz val="9"/>
        <rFont val="Noto Sans CJK SC"/>
        <family val="2"/>
      </rPr>
      <t xml:space="preserve">）」</t>
    </r>
  </si>
  <si>
    <r>
      <rPr>
        <sz val="9"/>
        <rFont val="Noto Sans CJK SC"/>
        <family val="2"/>
      </rPr>
      <t xml:space="preserve">属人性の解消は主に</t>
    </r>
    <r>
      <rPr>
        <sz val="9"/>
        <rFont val="Meiryo UI"/>
        <family val="0"/>
        <charset val="1"/>
      </rPr>
      <t xml:space="preserve">W2</t>
    </r>
    <r>
      <rPr>
        <sz val="9"/>
        <rFont val="Noto Sans CJK SC"/>
        <family val="2"/>
      </rPr>
      <t xml:space="preserve">（分担の固定・暗黙知）に対応する。</t>
    </r>
  </si>
  <si>
    <r>
      <rPr>
        <sz val="9"/>
        <rFont val="Noto Sans CJK SC"/>
        <family val="2"/>
      </rPr>
      <t xml:space="preserve">「（</t>
    </r>
    <r>
      <rPr>
        <sz val="9"/>
        <rFont val="Meiryo UI"/>
        <family val="0"/>
        <charset val="1"/>
      </rPr>
      <t xml:space="preserve">W1</t>
    </r>
    <r>
      <rPr>
        <sz val="9"/>
        <rFont val="Noto Sans CJK SC"/>
        <family val="2"/>
      </rPr>
      <t xml:space="preserve">・</t>
    </r>
    <r>
      <rPr>
        <sz val="9"/>
        <rFont val="Meiryo UI"/>
        <family val="0"/>
        <charset val="1"/>
      </rPr>
      <t xml:space="preserve">W2</t>
    </r>
    <r>
      <rPr>
        <sz val="9"/>
        <rFont val="Noto Sans CJK SC"/>
        <family val="2"/>
      </rPr>
      <t xml:space="preserve">）」に修正する。</t>
    </r>
  </si>
  <si>
    <t xml:space="preserve">表記の統一</t>
  </si>
  <si>
    <r>
      <rPr>
        <sz val="9"/>
        <rFont val="Meiryo UI"/>
        <family val="0"/>
        <charset val="1"/>
      </rPr>
      <t xml:space="preserve">2-2③(3)</t>
    </r>
    <r>
      <rPr>
        <sz val="9"/>
        <rFont val="Noto Sans CJK SC"/>
        <family val="2"/>
      </rPr>
      <t xml:space="preserve">、</t>
    </r>
    <r>
      <rPr>
        <sz val="9"/>
        <rFont val="Meiryo UI"/>
        <family val="0"/>
        <charset val="1"/>
      </rPr>
      <t xml:space="preserve">4</t>
    </r>
    <r>
      <rPr>
        <sz val="9"/>
        <rFont val="Noto Sans CJK SC"/>
        <family val="2"/>
      </rPr>
      <t xml:space="preserve">章【</t>
    </r>
    <r>
      <rPr>
        <sz val="9"/>
        <rFont val="Meiryo UI"/>
        <family val="0"/>
        <charset val="1"/>
      </rPr>
      <t xml:space="preserve">3</t>
    </r>
    <r>
      <rPr>
        <sz val="9"/>
        <rFont val="Noto Sans CJK SC"/>
        <family val="2"/>
      </rPr>
      <t xml:space="preserve">】</t>
    </r>
  </si>
  <si>
    <r>
      <rPr>
        <sz val="9"/>
        <rFont val="Noto Sans CJK SC"/>
        <family val="2"/>
      </rPr>
      <t xml:space="preserve">「労働分配率は基準年度</t>
    </r>
    <r>
      <rPr>
        <sz val="9"/>
        <rFont val="Meiryo UI"/>
        <family val="0"/>
        <charset val="1"/>
      </rPr>
      <t xml:space="preserve">67.8%→3</t>
    </r>
    <r>
      <rPr>
        <sz val="9"/>
        <rFont val="Noto Sans CJK SC"/>
        <family val="2"/>
      </rPr>
      <t xml:space="preserve">年目</t>
    </r>
    <r>
      <rPr>
        <sz val="9"/>
        <rFont val="Meiryo UI"/>
        <family val="0"/>
        <charset val="1"/>
      </rPr>
      <t xml:space="preserve">66.2%</t>
    </r>
    <r>
      <rPr>
        <sz val="9"/>
        <rFont val="Noto Sans CJK SC"/>
        <family val="2"/>
      </rPr>
      <t xml:space="preserve">」／「労働分配率は</t>
    </r>
    <r>
      <rPr>
        <sz val="9"/>
        <rFont val="Meiryo UI"/>
        <family val="0"/>
        <charset val="1"/>
      </rPr>
      <t xml:space="preserve">67.0%</t>
    </r>
    <r>
      <rPr>
        <sz val="9"/>
        <rFont val="Noto Sans CJK SC"/>
        <family val="2"/>
      </rPr>
      <t xml:space="preserve">（実績）→</t>
    </r>
    <r>
      <rPr>
        <sz val="9"/>
        <rFont val="Meiryo UI"/>
        <family val="0"/>
        <charset val="1"/>
      </rPr>
      <t xml:space="preserve">66.2%</t>
    </r>
    <r>
      <rPr>
        <sz val="9"/>
        <rFont val="Noto Sans CJK SC"/>
        <family val="2"/>
      </rPr>
      <t xml:space="preserve">（</t>
    </r>
    <r>
      <rPr>
        <sz val="9"/>
        <rFont val="Meiryo UI"/>
        <family val="0"/>
        <charset val="1"/>
      </rPr>
      <t xml:space="preserve">3</t>
    </r>
    <r>
      <rPr>
        <sz val="9"/>
        <rFont val="Noto Sans CJK SC"/>
        <family val="2"/>
      </rPr>
      <t xml:space="preserve">年目）」</t>
    </r>
  </si>
  <si>
    <t xml:space="preserve">比較の起点が箇所によって異なる（計算はいずれも正しい）。</t>
  </si>
  <si>
    <r>
      <rPr>
        <sz val="9"/>
        <rFont val="Noto Sans CJK SC"/>
        <family val="2"/>
      </rPr>
      <t xml:space="preserve">「実績</t>
    </r>
    <r>
      <rPr>
        <sz val="9"/>
        <rFont val="Meiryo UI"/>
        <family val="0"/>
        <charset val="1"/>
      </rPr>
      <t xml:space="preserve">67.0%</t>
    </r>
    <r>
      <rPr>
        <sz val="9"/>
        <rFont val="Noto Sans CJK SC"/>
        <family val="2"/>
      </rPr>
      <t xml:space="preserve">・基準年度</t>
    </r>
    <r>
      <rPr>
        <sz val="9"/>
        <rFont val="Meiryo UI"/>
        <family val="0"/>
        <charset val="1"/>
      </rPr>
      <t xml:space="preserve">67.8%→3</t>
    </r>
    <r>
      <rPr>
        <sz val="9"/>
        <rFont val="Noto Sans CJK SC"/>
        <family val="2"/>
      </rPr>
      <t xml:space="preserve">年目</t>
    </r>
    <r>
      <rPr>
        <sz val="9"/>
        <rFont val="Meiryo UI"/>
        <family val="0"/>
        <charset val="1"/>
      </rPr>
      <t xml:space="preserve">66.2%</t>
    </r>
    <r>
      <rPr>
        <sz val="9"/>
        <rFont val="Noto Sans CJK SC"/>
        <family val="2"/>
      </rPr>
      <t xml:space="preserve">」と両方を併記して統一する。</t>
    </r>
  </si>
  <si>
    <r>
      <rPr>
        <sz val="9"/>
        <rFont val="Meiryo UI"/>
        <family val="0"/>
        <charset val="1"/>
      </rPr>
      <t xml:space="preserve">3</t>
    </r>
    <r>
      <rPr>
        <sz val="9"/>
        <rFont val="Noto Sans CJK SC"/>
        <family val="2"/>
      </rPr>
      <t xml:space="preserve">章①</t>
    </r>
    <r>
      <rPr>
        <sz val="9"/>
        <rFont val="Meiryo UI"/>
        <family val="0"/>
        <charset val="1"/>
      </rPr>
      <t xml:space="preserve">KPI</t>
    </r>
    <r>
      <rPr>
        <sz val="9"/>
        <rFont val="Noto Sans CJK SC"/>
        <family val="2"/>
      </rPr>
      <t xml:space="preserve">表 </t>
    </r>
    <r>
      <rPr>
        <sz val="9"/>
        <rFont val="Meiryo UI"/>
        <family val="0"/>
        <charset val="1"/>
      </rPr>
      <t xml:space="preserve">e)</t>
    </r>
  </si>
  <si>
    <r>
      <rPr>
        <sz val="9"/>
        <rFont val="Noto Sans CJK SC"/>
        <family val="2"/>
      </rPr>
      <t xml:space="preserve">「マニュアル整備 </t>
    </r>
    <r>
      <rPr>
        <sz val="9"/>
        <rFont val="Meiryo UI"/>
        <family val="0"/>
        <charset val="1"/>
      </rPr>
      <t xml:space="preserve">10</t>
    </r>
    <r>
      <rPr>
        <sz val="9"/>
        <rFont val="Noto Sans CJK SC"/>
        <family val="2"/>
      </rPr>
      <t xml:space="preserve">件</t>
    </r>
    <r>
      <rPr>
        <sz val="9"/>
        <rFont val="Meiryo UI"/>
        <family val="0"/>
        <charset val="1"/>
      </rPr>
      <t xml:space="preserve">/</t>
    </r>
    <r>
      <rPr>
        <sz val="9"/>
        <rFont val="Noto Sans CJK SC"/>
        <family val="2"/>
      </rPr>
      <t xml:space="preserve">年」</t>
    </r>
  </si>
  <si>
    <r>
      <rPr>
        <sz val="9"/>
        <rFont val="Noto Sans CJK SC"/>
        <family val="2"/>
      </rPr>
      <t xml:space="preserve">他の行は全角「／」（例：</t>
    </r>
    <r>
      <rPr>
        <sz val="9"/>
        <rFont val="Meiryo UI"/>
        <family val="0"/>
        <charset val="1"/>
      </rPr>
      <t xml:space="preserve">8</t>
    </r>
    <r>
      <rPr>
        <sz val="9"/>
        <rFont val="Noto Sans CJK SC"/>
        <family val="2"/>
      </rPr>
      <t xml:space="preserve">日／月、</t>
    </r>
    <r>
      <rPr>
        <sz val="9"/>
        <rFont val="Meiryo UI"/>
        <family val="0"/>
        <charset val="1"/>
      </rPr>
      <t xml:space="preserve">10</t>
    </r>
    <r>
      <rPr>
        <sz val="9"/>
        <rFont val="Noto Sans CJK SC"/>
        <family val="2"/>
      </rPr>
      <t xml:space="preserve">件／年）。</t>
    </r>
  </si>
  <si>
    <r>
      <rPr>
        <sz val="9"/>
        <rFont val="Noto Sans CJK SC"/>
        <family val="2"/>
      </rPr>
      <t xml:space="preserve">「</t>
    </r>
    <r>
      <rPr>
        <sz val="9"/>
        <rFont val="Meiryo UI"/>
        <family val="0"/>
        <charset val="1"/>
      </rPr>
      <t xml:space="preserve">10</t>
    </r>
    <r>
      <rPr>
        <sz val="9"/>
        <rFont val="Noto Sans CJK SC"/>
        <family val="2"/>
      </rPr>
      <t xml:space="preserve">件／年」</t>
    </r>
  </si>
  <si>
    <r>
      <rPr>
        <sz val="9"/>
        <rFont val="Noto Sans CJK SC"/>
        <family val="2"/>
      </rPr>
      <t xml:space="preserve">図（</t>
    </r>
    <r>
      <rPr>
        <sz val="9"/>
        <rFont val="Meiryo UI"/>
        <family val="0"/>
        <charset val="1"/>
      </rPr>
      <t xml:space="preserve">G</t>
    </r>
    <r>
      <rPr>
        <sz val="9"/>
        <rFont val="Noto Sans CJK SC"/>
        <family val="2"/>
      </rPr>
      <t xml:space="preserve">ライン全体の流れ）</t>
    </r>
  </si>
  <si>
    <r>
      <rPr>
        <sz val="9"/>
        <rFont val="Meiryo UI"/>
        <family val="0"/>
        <charset val="1"/>
      </rPr>
      <t xml:space="preserve">1-3</t>
    </r>
    <r>
      <rPr>
        <sz val="9"/>
        <rFont val="Noto Sans CJK SC"/>
        <family val="2"/>
      </rPr>
      <t xml:space="preserve">の図「本事業の対象範囲：</t>
    </r>
    <r>
      <rPr>
        <sz val="9"/>
        <rFont val="Meiryo UI"/>
        <family val="0"/>
        <charset val="1"/>
      </rPr>
      <t xml:space="preserve">G</t>
    </r>
    <r>
      <rPr>
        <sz val="9"/>
        <rFont val="Noto Sans CJK SC"/>
        <family val="2"/>
      </rPr>
      <t xml:space="preserve">ライン全体の流れと人の配置」下部</t>
    </r>
  </si>
  <si>
    <r>
      <rPr>
        <sz val="9"/>
        <rFont val="Noto Sans CJK SC"/>
        <family val="2"/>
      </rPr>
      <t xml:space="preserve">図：「創出した時間（約</t>
    </r>
    <r>
      <rPr>
        <sz val="9"/>
        <rFont val="Meiryo UI"/>
        <family val="0"/>
        <charset val="1"/>
      </rPr>
      <t xml:space="preserve">13.3</t>
    </r>
    <r>
      <rPr>
        <sz val="9"/>
        <rFont val="Noto Sans CJK SC"/>
        <family val="2"/>
      </rPr>
      <t xml:space="preserve">時間／日）は多能工化・品質管理へ再配分」</t>
    </r>
  </si>
  <si>
    <r>
      <rPr>
        <sz val="9"/>
        <rFont val="Meiryo UI"/>
        <family val="0"/>
        <charset val="1"/>
      </rPr>
      <t xml:space="preserve">3</t>
    </r>
    <r>
      <rPr>
        <sz val="9"/>
        <rFont val="Noto Sans CJK SC"/>
        <family val="2"/>
      </rPr>
      <t xml:space="preserve">章では</t>
    </r>
    <r>
      <rPr>
        <sz val="9"/>
        <rFont val="Meiryo UI"/>
        <family val="0"/>
        <charset val="1"/>
      </rPr>
      <t xml:space="preserve">5</t>
    </r>
    <r>
      <rPr>
        <sz val="9"/>
        <rFont val="Noto Sans CJK SC"/>
        <family val="2"/>
      </rPr>
      <t xml:space="preserve">領域（多能工化・遅番移管・品質管理・提案型</t>
    </r>
    <r>
      <rPr>
        <sz val="9"/>
        <rFont val="Meiryo UI"/>
        <family val="0"/>
        <charset val="1"/>
      </rPr>
      <t xml:space="preserve">ODM</t>
    </r>
    <r>
      <rPr>
        <sz val="9"/>
        <rFont val="Noto Sans CJK SC"/>
        <family val="2"/>
      </rPr>
      <t xml:space="preserve">・技術継承）に配分しており、図には</t>
    </r>
    <r>
      <rPr>
        <sz val="9"/>
        <rFont val="Meiryo UI"/>
        <family val="0"/>
        <charset val="1"/>
      </rPr>
      <t xml:space="preserve">ODM</t>
    </r>
    <r>
      <rPr>
        <sz val="9"/>
        <rFont val="Noto Sans CJK SC"/>
        <family val="2"/>
      </rPr>
      <t xml:space="preserve">がない。</t>
    </r>
  </si>
  <si>
    <r>
      <rPr>
        <sz val="9"/>
        <rFont val="Noto Sans CJK SC"/>
        <family val="2"/>
      </rPr>
      <t xml:space="preserve">「多能工化・品質管理・提案型</t>
    </r>
    <r>
      <rPr>
        <sz val="9"/>
        <rFont val="Meiryo UI"/>
        <family val="0"/>
        <charset val="1"/>
      </rPr>
      <t xml:space="preserve">ODM</t>
    </r>
    <r>
      <rPr>
        <sz val="9"/>
        <rFont val="Noto Sans CJK SC"/>
        <family val="2"/>
      </rPr>
      <t xml:space="preserve">等へ再配分（→</t>
    </r>
    <r>
      <rPr>
        <sz val="9"/>
        <rFont val="Meiryo UI"/>
        <family val="0"/>
        <charset val="1"/>
      </rPr>
      <t xml:space="preserve">3</t>
    </r>
    <r>
      <rPr>
        <sz val="9"/>
        <rFont val="Noto Sans CJK SC"/>
        <family val="2"/>
      </rPr>
      <t xml:space="preserve">章）」に修正する。</t>
    </r>
  </si>
  <si>
    <t xml:space="preserve">3-f</t>
  </si>
  <si>
    <r>
      <rPr>
        <sz val="9"/>
        <rFont val="Noto Sans CJK SC"/>
        <family val="2"/>
      </rPr>
      <t xml:space="preserve">図元データ </t>
    </r>
    <r>
      <rPr>
        <sz val="9"/>
        <rFont val="Meiryo UI"/>
        <family val="0"/>
        <charset val="1"/>
      </rPr>
      <t xml:space="preserve">pptx v3 p.2</t>
    </r>
  </si>
  <si>
    <t xml:space="preserve">整合（本文とスケジュール）</t>
  </si>
  <si>
    <r>
      <rPr>
        <sz val="9"/>
        <rFont val="Meiryo UI"/>
        <family val="0"/>
        <charset val="1"/>
      </rPr>
      <t xml:space="preserve">3</t>
    </r>
    <r>
      <rPr>
        <sz val="9"/>
        <rFont val="Noto Sans CJK SC"/>
        <family val="2"/>
      </rPr>
      <t xml:space="preserve">章①〔</t>
    </r>
    <r>
      <rPr>
        <sz val="9"/>
        <rFont val="Meiryo UI"/>
        <family val="0"/>
        <charset val="1"/>
      </rPr>
      <t xml:space="preserve">3</t>
    </r>
    <r>
      <rPr>
        <sz val="9"/>
        <rFont val="Noto Sans CJK SC"/>
        <family val="2"/>
      </rPr>
      <t xml:space="preserve">段階の再配置〕、スケジュール表「４．④段階</t>
    </r>
    <r>
      <rPr>
        <sz val="9"/>
        <rFont val="Meiryo UI"/>
        <family val="0"/>
        <charset val="1"/>
      </rPr>
      <t xml:space="preserve">3</t>
    </r>
    <r>
      <rPr>
        <sz val="9"/>
        <rFont val="Noto Sans CJK SC"/>
        <family val="2"/>
      </rPr>
      <t xml:space="preserve">」</t>
    </r>
  </si>
  <si>
    <r>
      <rPr>
        <sz val="9"/>
        <rFont val="Noto Sans CJK SC"/>
        <family val="2"/>
      </rPr>
      <t xml:space="preserve">スケジュール：「段階</t>
    </r>
    <r>
      <rPr>
        <sz val="9"/>
        <rFont val="Meiryo UI"/>
        <family val="0"/>
        <charset val="1"/>
      </rPr>
      <t xml:space="preserve">3</t>
    </r>
    <r>
      <rPr>
        <sz val="9"/>
        <rFont val="Noto Sans CJK SC"/>
        <family val="2"/>
      </rPr>
      <t xml:space="preserve">：社員を品質管理・提案型</t>
    </r>
    <r>
      <rPr>
        <sz val="9"/>
        <rFont val="Meiryo UI"/>
        <family val="0"/>
        <charset val="1"/>
      </rPr>
      <t xml:space="preserve">ODM</t>
    </r>
    <r>
      <rPr>
        <sz val="9"/>
        <rFont val="Noto Sans CJK SC"/>
        <family val="2"/>
      </rPr>
      <t xml:space="preserve">・技術継承へ、</t>
    </r>
    <r>
      <rPr>
        <sz val="9"/>
        <rFont val="Meiryo UI"/>
        <family val="0"/>
        <charset val="1"/>
      </rPr>
      <t xml:space="preserve">E</t>
    </r>
    <r>
      <rPr>
        <sz val="9"/>
        <rFont val="Noto Sans CJK SC"/>
        <family val="2"/>
      </rPr>
      <t xml:space="preserve">ライン横展開の準備」
本文</t>
    </r>
    <r>
      <rPr>
        <sz val="9"/>
        <rFont val="Meiryo UI"/>
        <family val="0"/>
        <charset val="1"/>
      </rPr>
      <t xml:space="preserve">3</t>
    </r>
    <r>
      <rPr>
        <sz val="9"/>
        <rFont val="Noto Sans CJK SC"/>
        <family val="2"/>
      </rPr>
      <t xml:space="preserve">章：段階</t>
    </r>
    <r>
      <rPr>
        <sz val="9"/>
        <rFont val="Meiryo UI"/>
        <family val="0"/>
        <charset val="1"/>
      </rPr>
      <t xml:space="preserve">3</t>
    </r>
    <r>
      <rPr>
        <sz val="9"/>
        <rFont val="Noto Sans CJK SC"/>
        <family val="2"/>
      </rPr>
      <t xml:space="preserve">に</t>
    </r>
    <r>
      <rPr>
        <sz val="9"/>
        <rFont val="Meiryo UI"/>
        <family val="0"/>
        <charset val="1"/>
      </rPr>
      <t xml:space="preserve">E</t>
    </r>
    <r>
      <rPr>
        <sz val="9"/>
        <rFont val="Noto Sans CJK SC"/>
        <family val="2"/>
      </rPr>
      <t xml:space="preserve">ラインの記載なし（</t>
    </r>
    <r>
      <rPr>
        <sz val="9"/>
        <rFont val="Meiryo UI"/>
        <family val="0"/>
        <charset val="1"/>
      </rPr>
      <t xml:space="preserve">1-3③</t>
    </r>
    <r>
      <rPr>
        <sz val="9"/>
        <rFont val="Noto Sans CJK SC"/>
        <family val="2"/>
      </rPr>
      <t xml:space="preserve">・</t>
    </r>
    <r>
      <rPr>
        <sz val="9"/>
        <rFont val="Meiryo UI"/>
        <family val="0"/>
        <charset val="1"/>
      </rPr>
      <t xml:space="preserve">3</t>
    </r>
    <r>
      <rPr>
        <sz val="9"/>
        <rFont val="Noto Sans CJK SC"/>
        <family val="2"/>
      </rPr>
      <t xml:space="preserve">章③は「検討できる」）</t>
    </r>
  </si>
  <si>
    <r>
      <rPr>
        <sz val="9"/>
        <rFont val="Noto Sans CJK SC"/>
        <family val="2"/>
      </rPr>
      <t xml:space="preserve">本文とスケジュールで段階</t>
    </r>
    <r>
      <rPr>
        <sz val="9"/>
        <rFont val="Meiryo UI"/>
        <family val="0"/>
        <charset val="1"/>
      </rPr>
      <t xml:space="preserve">3</t>
    </r>
    <r>
      <rPr>
        <sz val="9"/>
        <rFont val="Noto Sans CJK SC"/>
        <family val="2"/>
      </rPr>
      <t xml:space="preserve">の内容が一致しない。</t>
    </r>
  </si>
  <si>
    <r>
      <rPr>
        <sz val="9"/>
        <rFont val="Noto Sans CJK SC"/>
        <family val="2"/>
      </rPr>
      <t xml:space="preserve">本文</t>
    </r>
    <r>
      <rPr>
        <sz val="9"/>
        <rFont val="Meiryo UI"/>
        <family val="0"/>
        <charset val="1"/>
      </rPr>
      <t xml:space="preserve">3</t>
    </r>
    <r>
      <rPr>
        <sz val="9"/>
        <rFont val="Noto Sans CJK SC"/>
        <family val="2"/>
      </rPr>
      <t xml:space="preserve">章の段階</t>
    </r>
    <r>
      <rPr>
        <sz val="9"/>
        <rFont val="Meiryo UI"/>
        <family val="0"/>
        <charset val="1"/>
      </rPr>
      <t xml:space="preserve">3</t>
    </r>
    <r>
      <rPr>
        <sz val="9"/>
        <rFont val="Noto Sans CJK SC"/>
        <family val="2"/>
      </rPr>
      <t xml:space="preserve">に「</t>
    </r>
    <r>
      <rPr>
        <sz val="9"/>
        <rFont val="Meiryo UI"/>
        <family val="0"/>
        <charset val="1"/>
      </rPr>
      <t xml:space="preserve">E</t>
    </r>
    <r>
      <rPr>
        <sz val="9"/>
        <rFont val="Noto Sans CJK SC"/>
        <family val="2"/>
      </rPr>
      <t xml:space="preserve">ライン横展開の準備（検討）」を加えるか、スケジュールから外す。</t>
    </r>
  </si>
  <si>
    <t xml:space="preserve">3-b</t>
  </si>
  <si>
    <r>
      <rPr>
        <sz val="9"/>
        <rFont val="Meiryo UI"/>
        <family val="0"/>
        <charset val="1"/>
      </rPr>
      <t xml:space="preserve">20261001</t>
    </r>
    <r>
      <rPr>
        <sz val="9"/>
        <rFont val="Noto Sans CJK SC"/>
        <family val="2"/>
      </rPr>
      <t xml:space="preserve">【更新版】スケジュール</t>
    </r>
  </si>
  <si>
    <t xml:space="preserve">数値（会計処理）</t>
  </si>
  <si>
    <r>
      <rPr>
        <sz val="9"/>
        <rFont val="Meiryo UI"/>
        <family val="0"/>
        <charset val="1"/>
      </rPr>
      <t xml:space="preserve">4</t>
    </r>
    <r>
      <rPr>
        <sz val="9"/>
        <rFont val="Noto Sans CJK SC"/>
        <family val="2"/>
      </rPr>
      <t xml:space="preserve">章②表「└うち本設備」基準年度「―」、【</t>
    </r>
    <r>
      <rPr>
        <sz val="9"/>
        <rFont val="Meiryo UI"/>
        <family val="0"/>
        <charset val="1"/>
      </rPr>
      <t xml:space="preserve">2</t>
    </r>
    <r>
      <rPr>
        <sz val="9"/>
        <rFont val="Noto Sans CJK SC"/>
        <family val="2"/>
      </rPr>
      <t xml:space="preserve">】減価償却費</t>
    </r>
  </si>
  <si>
    <r>
      <rPr>
        <sz val="9"/>
        <rFont val="Noto Sans CJK SC"/>
        <family val="2"/>
      </rPr>
      <t xml:space="preserve">「本設備</t>
    </r>
    <r>
      <rPr>
        <sz val="9"/>
        <rFont val="Meiryo UI"/>
        <family val="0"/>
        <charset val="1"/>
      </rPr>
      <t xml:space="preserve">92,000,000</t>
    </r>
    <r>
      <rPr>
        <sz val="9"/>
        <rFont val="Noto Sans CJK SC"/>
        <family val="2"/>
      </rPr>
      <t xml:space="preserve">円（税抜）は定額法・耐用年数</t>
    </r>
    <r>
      <rPr>
        <sz val="9"/>
        <rFont val="Meiryo UI"/>
        <family val="0"/>
        <charset val="1"/>
      </rPr>
      <t xml:space="preserve">10</t>
    </r>
    <r>
      <rPr>
        <sz val="9"/>
        <rFont val="Noto Sans CJK SC"/>
        <family val="2"/>
      </rPr>
      <t xml:space="preserve">年で、</t>
    </r>
    <r>
      <rPr>
        <sz val="9"/>
        <rFont val="Meiryo UI"/>
        <family val="0"/>
        <charset val="1"/>
      </rPr>
      <t xml:space="preserve">2029</t>
    </r>
    <r>
      <rPr>
        <sz val="9"/>
        <rFont val="Noto Sans CJK SC"/>
        <family val="2"/>
      </rPr>
      <t xml:space="preserve">年</t>
    </r>
    <r>
      <rPr>
        <sz val="9"/>
        <rFont val="Meiryo UI"/>
        <family val="0"/>
        <charset val="1"/>
      </rPr>
      <t xml:space="preserve">3</t>
    </r>
    <r>
      <rPr>
        <sz val="9"/>
        <rFont val="Noto Sans CJK SC"/>
        <family val="2"/>
      </rPr>
      <t xml:space="preserve">月期から</t>
    </r>
    <r>
      <rPr>
        <sz val="9"/>
        <rFont val="Meiryo UI"/>
        <family val="0"/>
        <charset val="1"/>
      </rPr>
      <t xml:space="preserve">9,200,000</t>
    </r>
    <r>
      <rPr>
        <sz val="9"/>
        <rFont val="Noto Sans CJK SC"/>
        <family val="2"/>
      </rPr>
      <t xml:space="preserve">円／年を計上する」</t>
    </r>
  </si>
  <si>
    <r>
      <rPr>
        <sz val="9"/>
        <rFont val="Meiryo UI"/>
        <family val="0"/>
        <charset val="1"/>
      </rPr>
      <t xml:space="preserve">2028</t>
    </r>
    <r>
      <rPr>
        <sz val="9"/>
        <rFont val="Noto Sans CJK SC"/>
        <family val="2"/>
      </rPr>
      <t xml:space="preserve">年</t>
    </r>
    <r>
      <rPr>
        <sz val="9"/>
        <rFont val="Meiryo UI"/>
        <family val="0"/>
        <charset val="1"/>
      </rPr>
      <t xml:space="preserve">1</t>
    </r>
    <r>
      <rPr>
        <sz val="9"/>
        <rFont val="Noto Sans CJK SC"/>
        <family val="2"/>
      </rPr>
      <t xml:space="preserve">月に事業に使い始めるため、会計上は基準年度（</t>
    </r>
    <r>
      <rPr>
        <sz val="9"/>
        <rFont val="Meiryo UI"/>
        <family val="0"/>
        <charset val="1"/>
      </rPr>
      <t xml:space="preserve">2028</t>
    </r>
    <r>
      <rPr>
        <sz val="9"/>
        <rFont val="Noto Sans CJK SC"/>
        <family val="2"/>
      </rPr>
      <t xml:space="preserve">年</t>
    </r>
    <r>
      <rPr>
        <sz val="9"/>
        <rFont val="Meiryo UI"/>
        <family val="0"/>
        <charset val="1"/>
      </rPr>
      <t xml:space="preserve">3</t>
    </r>
    <r>
      <rPr>
        <sz val="9"/>
        <rFont val="Noto Sans CJK SC"/>
        <family val="2"/>
      </rPr>
      <t xml:space="preserve">月期）にも約</t>
    </r>
    <r>
      <rPr>
        <sz val="9"/>
        <rFont val="Meiryo UI"/>
        <family val="0"/>
        <charset val="1"/>
      </rPr>
      <t xml:space="preserve">2</t>
    </r>
    <r>
      <rPr>
        <sz val="9"/>
        <rFont val="Noto Sans CJK SC"/>
        <family val="2"/>
      </rPr>
      <t xml:space="preserve">か月分の償却が発生する。付加価値額は変わらない（営業利益と償却費の振替）が、注記があると丁寧。</t>
    </r>
  </si>
  <si>
    <r>
      <rPr>
        <sz val="9"/>
        <rFont val="Noto Sans CJK SC"/>
        <family val="2"/>
      </rPr>
      <t xml:space="preserve">「基準年度の償却（約</t>
    </r>
    <r>
      <rPr>
        <sz val="9"/>
        <rFont val="Meiryo UI"/>
        <family val="0"/>
        <charset val="1"/>
      </rPr>
      <t xml:space="preserve">2</t>
    </r>
    <r>
      <rPr>
        <sz val="9"/>
        <rFont val="Noto Sans CJK SC"/>
        <family val="2"/>
      </rPr>
      <t xml:space="preserve">か月分）は僅少のため</t>
    </r>
    <r>
      <rPr>
        <sz val="9"/>
        <rFont val="Meiryo UI"/>
        <family val="0"/>
        <charset val="1"/>
      </rPr>
      <t xml:space="preserve">1</t>
    </r>
    <r>
      <rPr>
        <sz val="9"/>
        <rFont val="Noto Sans CJK SC"/>
        <family val="2"/>
      </rPr>
      <t xml:space="preserve">年目から計上」と注記するか、月割り分を基準年度に計上する。</t>
    </r>
  </si>
  <si>
    <r>
      <rPr>
        <sz val="9"/>
        <rFont val="Meiryo UI"/>
        <family val="0"/>
        <charset val="1"/>
      </rPr>
      <t xml:space="preserve">4</t>
    </r>
    <r>
      <rPr>
        <sz val="9"/>
        <rFont val="Noto Sans CJK SC"/>
        <family val="2"/>
      </rPr>
      <t xml:space="preserve">章【</t>
    </r>
    <r>
      <rPr>
        <sz val="9"/>
        <rFont val="Meiryo UI"/>
        <family val="0"/>
        <charset val="1"/>
      </rPr>
      <t xml:space="preserve">1</t>
    </r>
    <r>
      <rPr>
        <sz val="9"/>
        <rFont val="Noto Sans CJK SC"/>
        <family val="2"/>
      </rPr>
      <t xml:space="preserve">】①顧客（断った案件）の末尾</t>
    </r>
  </si>
  <si>
    <r>
      <rPr>
        <sz val="9"/>
        <rFont val="Noto Sans CJK SC"/>
        <family val="2"/>
      </rPr>
      <t xml:space="preserve">「…この規模の案件は、遅番を社員</t>
    </r>
    <r>
      <rPr>
        <sz val="9"/>
        <rFont val="Meiryo UI"/>
        <family val="0"/>
        <charset val="1"/>
      </rPr>
      <t xml:space="preserve">1</t>
    </r>
    <r>
      <rPr>
        <sz val="9"/>
        <rFont val="Noto Sans CJK SC"/>
        <family val="2"/>
      </rPr>
      <t xml:space="preserve">名で回せることで生まれる稼働の余地で受ける」</t>
    </r>
  </si>
  <si>
    <r>
      <rPr>
        <sz val="9"/>
        <rFont val="Noto Sans CJK SC"/>
        <family val="2"/>
      </rPr>
      <t xml:space="preserve">文末の句点が抜けている（文意は</t>
    </r>
    <r>
      <rPr>
        <sz val="9"/>
        <rFont val="Meiryo UI"/>
        <family val="0"/>
        <charset val="1"/>
      </rPr>
      <t xml:space="preserve">No.4</t>
    </r>
    <r>
      <rPr>
        <sz val="9"/>
        <rFont val="Noto Sans CJK SC"/>
        <family val="2"/>
      </rPr>
      <t xml:space="preserve">で見直し）。</t>
    </r>
  </si>
  <si>
    <t xml:space="preserve">文末に「。」を追加する。</t>
  </si>
  <si>
    <t xml:space="preserve">整合（支払条件）</t>
  </si>
  <si>
    <r>
      <rPr>
        <sz val="9"/>
        <rFont val="Meiryo UI"/>
        <family val="0"/>
        <charset val="1"/>
      </rPr>
      <t xml:space="preserve">5</t>
    </r>
    <r>
      <rPr>
        <sz val="9"/>
        <rFont val="Noto Sans CJK SC"/>
        <family val="2"/>
      </rPr>
      <t xml:space="preserve">章③「２．設置・試運転・教育」</t>
    </r>
  </si>
  <si>
    <r>
      <rPr>
        <sz val="9"/>
        <rFont val="Noto Sans CJK SC"/>
        <family val="2"/>
      </rPr>
      <t xml:space="preserve">「</t>
    </r>
    <r>
      <rPr>
        <sz val="9"/>
        <rFont val="Meiryo UI"/>
        <family val="0"/>
        <charset val="1"/>
      </rPr>
      <t xml:space="preserve">2027</t>
    </r>
    <r>
      <rPr>
        <sz val="9"/>
        <rFont val="Noto Sans CJK SC"/>
        <family val="2"/>
      </rPr>
      <t xml:space="preserve">年</t>
    </r>
    <r>
      <rPr>
        <sz val="9"/>
        <rFont val="Meiryo UI"/>
        <family val="0"/>
        <charset val="1"/>
      </rPr>
      <t xml:space="preserve">12</t>
    </r>
    <r>
      <rPr>
        <sz val="9"/>
        <rFont val="Noto Sans CJK SC"/>
        <family val="2"/>
      </rPr>
      <t xml:space="preserve">月〜</t>
    </r>
    <r>
      <rPr>
        <sz val="9"/>
        <rFont val="Meiryo UI"/>
        <family val="0"/>
        <charset val="1"/>
      </rPr>
      <t xml:space="preserve">2028</t>
    </r>
    <r>
      <rPr>
        <sz val="9"/>
        <rFont val="Noto Sans CJK SC"/>
        <family val="2"/>
      </rPr>
      <t xml:space="preserve">年</t>
    </r>
    <r>
      <rPr>
        <sz val="9"/>
        <rFont val="Meiryo UI"/>
        <family val="0"/>
        <charset val="1"/>
      </rPr>
      <t xml:space="preserve">1</t>
    </r>
    <r>
      <rPr>
        <sz val="9"/>
        <rFont val="Noto Sans CJK SC"/>
        <family val="2"/>
      </rPr>
      <t xml:space="preserve">月に納入・据付する（納入時に</t>
    </r>
    <r>
      <rPr>
        <sz val="9"/>
        <rFont val="Meiryo UI"/>
        <family val="0"/>
        <charset val="1"/>
      </rPr>
      <t xml:space="preserve">1/3</t>
    </r>
    <r>
      <rPr>
        <sz val="9"/>
        <rFont val="Noto Sans CJK SC"/>
        <family val="2"/>
      </rPr>
      <t xml:space="preserve">を支払う）」</t>
    </r>
  </si>
  <si>
    <r>
      <rPr>
        <sz val="9"/>
        <rFont val="Noto Sans CJK SC"/>
        <family val="2"/>
      </rPr>
      <t xml:space="preserve">スケジュール表では「契約時</t>
    </r>
    <r>
      <rPr>
        <sz val="9"/>
        <rFont val="Meiryo UI"/>
        <family val="0"/>
        <charset val="1"/>
      </rPr>
      <t xml:space="preserve">1/3</t>
    </r>
    <r>
      <rPr>
        <sz val="9"/>
        <rFont val="Noto Sans CJK SC"/>
        <family val="2"/>
      </rPr>
      <t xml:space="preserve">・納入時</t>
    </r>
    <r>
      <rPr>
        <sz val="9"/>
        <rFont val="Meiryo UI"/>
        <family val="0"/>
        <charset val="1"/>
      </rPr>
      <t xml:space="preserve">1/3</t>
    </r>
    <r>
      <rPr>
        <sz val="9"/>
        <rFont val="Noto Sans CJK SC"/>
        <family val="2"/>
      </rPr>
      <t xml:space="preserve">・残り</t>
    </r>
    <r>
      <rPr>
        <sz val="9"/>
        <rFont val="Meiryo UI"/>
        <family val="0"/>
        <charset val="1"/>
      </rPr>
      <t xml:space="preserve">1/3</t>
    </r>
    <r>
      <rPr>
        <sz val="9"/>
        <rFont val="Noto Sans CJK SC"/>
        <family val="2"/>
      </rPr>
      <t xml:space="preserve">（検収後）」だが、計画書本文は納入時</t>
    </r>
    <r>
      <rPr>
        <sz val="9"/>
        <rFont val="Meiryo UI"/>
        <family val="0"/>
        <charset val="1"/>
      </rPr>
      <t xml:space="preserve">1/3</t>
    </r>
    <r>
      <rPr>
        <sz val="9"/>
        <rFont val="Noto Sans CJK SC"/>
        <family val="2"/>
      </rPr>
      <t xml:space="preserve">だけを記載している。</t>
    </r>
  </si>
  <si>
    <r>
      <rPr>
        <sz val="9"/>
        <rFont val="Meiryo UI"/>
        <family val="0"/>
        <charset val="1"/>
      </rPr>
      <t xml:space="preserve">5</t>
    </r>
    <r>
      <rPr>
        <sz val="9"/>
        <rFont val="Noto Sans CJK SC"/>
        <family val="2"/>
      </rPr>
      <t xml:space="preserve">章③の「１．」に「契約時に</t>
    </r>
    <r>
      <rPr>
        <sz val="9"/>
        <rFont val="Meiryo UI"/>
        <family val="0"/>
        <charset val="1"/>
      </rPr>
      <t xml:space="preserve">1/3</t>
    </r>
    <r>
      <rPr>
        <sz val="9"/>
        <rFont val="Noto Sans CJK SC"/>
        <family val="2"/>
      </rPr>
      <t xml:space="preserve">」、「３．」に「残り</t>
    </r>
    <r>
      <rPr>
        <sz val="9"/>
        <rFont val="Meiryo UI"/>
        <family val="0"/>
        <charset val="1"/>
      </rPr>
      <t xml:space="preserve">1/3</t>
    </r>
    <r>
      <rPr>
        <sz val="9"/>
        <rFont val="Noto Sans CJK SC"/>
        <family val="2"/>
      </rPr>
      <t xml:space="preserve">」を追記して支払条件を一貫させる。</t>
    </r>
  </si>
  <si>
    <t xml:space="preserve">全体</t>
  </si>
  <si>
    <r>
      <rPr>
        <sz val="9"/>
        <rFont val="Noto Sans CJK SC"/>
        <family val="2"/>
      </rPr>
      <t xml:space="preserve">「</t>
    </r>
    <r>
      <rPr>
        <sz val="9"/>
        <rFont val="Meiryo UI"/>
        <family val="0"/>
        <charset val="1"/>
      </rPr>
      <t xml:space="preserve">1‐2</t>
    </r>
    <r>
      <rPr>
        <sz val="9"/>
        <rFont val="Noto Sans CJK SC"/>
        <family val="2"/>
      </rPr>
      <t xml:space="preserve">」「</t>
    </r>
    <r>
      <rPr>
        <sz val="9"/>
        <rFont val="Meiryo UI"/>
        <family val="0"/>
        <charset val="1"/>
      </rPr>
      <t xml:space="preserve">1‐3</t>
    </r>
    <r>
      <rPr>
        <sz val="9"/>
        <rFont val="Noto Sans CJK SC"/>
        <family val="2"/>
      </rPr>
      <t xml:space="preserve">」（全角ハイフン）と「</t>
    </r>
    <r>
      <rPr>
        <sz val="9"/>
        <rFont val="Meiryo UI"/>
        <family val="0"/>
        <charset val="1"/>
      </rPr>
      <t xml:space="preserve">1-1</t>
    </r>
    <r>
      <rPr>
        <sz val="9"/>
        <rFont val="Noto Sans CJK SC"/>
        <family val="2"/>
      </rPr>
      <t xml:space="preserve">」「</t>
    </r>
    <r>
      <rPr>
        <sz val="9"/>
        <rFont val="Meiryo UI"/>
        <family val="0"/>
        <charset val="1"/>
      </rPr>
      <t xml:space="preserve">2-1</t>
    </r>
    <r>
      <rPr>
        <sz val="9"/>
        <rFont val="Noto Sans CJK SC"/>
        <family val="2"/>
      </rPr>
      <t xml:space="preserve">」（半角）、「２</t>
    </r>
    <r>
      <rPr>
        <sz val="9"/>
        <rFont val="Meiryo UI"/>
        <family val="0"/>
        <charset val="1"/>
      </rPr>
      <t xml:space="preserve">-</t>
    </r>
    <r>
      <rPr>
        <sz val="9"/>
        <rFont val="Noto Sans CJK SC"/>
        <family val="2"/>
      </rPr>
      <t xml:space="preserve">１」等が混在</t>
    </r>
  </si>
  <si>
    <t xml:space="preserve">見出し・相互参照の番号表記が混在している。</t>
  </si>
  <si>
    <r>
      <rPr>
        <sz val="9"/>
        <rFont val="Noto Sans CJK SC"/>
        <family val="2"/>
      </rPr>
      <t xml:space="preserve">本文中の参照は「</t>
    </r>
    <r>
      <rPr>
        <sz val="9"/>
        <rFont val="Meiryo UI"/>
        <family val="0"/>
        <charset val="1"/>
      </rPr>
      <t xml:space="preserve">1-2</t>
    </r>
    <r>
      <rPr>
        <sz val="9"/>
        <rFont val="Noto Sans CJK SC"/>
        <family val="2"/>
      </rPr>
      <t xml:space="preserve">」等の半角に統一する（様式の見出しは原文のままでも可）。</t>
    </r>
  </si>
  <si>
    <r>
      <rPr>
        <sz val="9"/>
        <rFont val="Noto Sans CJK SC"/>
        <family val="2"/>
      </rPr>
      <t xml:space="preserve">【算定根拠】①</t>
    </r>
    <r>
      <rPr>
        <sz val="9"/>
        <rFont val="Meiryo UI"/>
        <family val="0"/>
        <charset val="1"/>
      </rPr>
      <t xml:space="preserve">(1)</t>
    </r>
    <r>
      <rPr>
        <sz val="9"/>
        <rFont val="Noto Sans CJK SC"/>
        <family val="2"/>
      </rPr>
      <t xml:space="preserve">、（別紙３）【算定根拠】</t>
    </r>
  </si>
  <si>
    <r>
      <rPr>
        <sz val="9"/>
        <rFont val="Noto Sans CJK SC"/>
        <family val="2"/>
      </rPr>
      <t xml:space="preserve">「キャパ不足で断っていた約</t>
    </r>
    <r>
      <rPr>
        <sz val="9"/>
        <rFont val="Meiryo UI"/>
        <family val="0"/>
        <charset val="1"/>
      </rPr>
      <t xml:space="preserve">4</t>
    </r>
    <r>
      <rPr>
        <sz val="9"/>
        <rFont val="Noto Sans CJK SC"/>
        <family val="2"/>
      </rPr>
      <t xml:space="preserve">億円規模の案件」</t>
    </r>
  </si>
  <si>
    <t xml:space="preserve">略語・口語的な表現。</t>
  </si>
  <si>
    <t xml:space="preserve">「生産能力の不足で断っていた」</t>
  </si>
  <si>
    <t xml:space="preserve">（別紙２）「空パウチの搬入」の説明</t>
  </si>
  <si>
    <r>
      <rPr>
        <sz val="9"/>
        <rFont val="Noto Sans CJK SC"/>
        <family val="2"/>
      </rPr>
      <t xml:space="preserve">「</t>
    </r>
    <r>
      <rPr>
        <sz val="9"/>
        <rFont val="Meiryo UI"/>
        <family val="0"/>
        <charset val="1"/>
      </rPr>
      <t xml:space="preserve">1</t>
    </r>
    <r>
      <rPr>
        <sz val="9"/>
        <rFont val="Noto Sans CJK SC"/>
        <family val="2"/>
      </rPr>
      <t xml:space="preserve">日約</t>
    </r>
    <r>
      <rPr>
        <sz val="9"/>
        <rFont val="Meiryo UI"/>
        <family val="0"/>
        <charset val="1"/>
      </rPr>
      <t xml:space="preserve">43</t>
    </r>
    <r>
      <rPr>
        <sz val="9"/>
        <rFont val="Noto Sans CJK SC"/>
        <family val="2"/>
      </rPr>
      <t xml:space="preserve">箱を</t>
    </r>
    <r>
      <rPr>
        <sz val="9"/>
        <rFont val="Meiryo UI"/>
        <family val="0"/>
        <charset val="1"/>
      </rPr>
      <t xml:space="preserve">5</t>
    </r>
    <r>
      <rPr>
        <sz val="9"/>
        <rFont val="Noto Sans CJK SC"/>
        <family val="2"/>
      </rPr>
      <t xml:space="preserve">〜</t>
    </r>
    <r>
      <rPr>
        <sz val="9"/>
        <rFont val="Meiryo UI"/>
        <family val="0"/>
        <charset val="1"/>
      </rPr>
      <t xml:space="preserve">6</t>
    </r>
    <r>
      <rPr>
        <sz val="9"/>
        <rFont val="Noto Sans CJK SC"/>
        <family val="2"/>
      </rPr>
      <t xml:space="preserve">回」</t>
    </r>
  </si>
  <si>
    <t xml:space="preserve">文意が分かりにくい。</t>
  </si>
  <si>
    <r>
      <rPr>
        <sz val="9"/>
        <rFont val="Noto Sans CJK SC"/>
        <family val="2"/>
      </rPr>
      <t xml:space="preserve">「</t>
    </r>
    <r>
      <rPr>
        <sz val="9"/>
        <rFont val="Meiryo UI"/>
        <family val="0"/>
        <charset val="1"/>
      </rPr>
      <t xml:space="preserve">1</t>
    </r>
    <r>
      <rPr>
        <sz val="9"/>
        <rFont val="Noto Sans CJK SC"/>
        <family val="2"/>
      </rPr>
      <t xml:space="preserve">日約</t>
    </r>
    <r>
      <rPr>
        <sz val="9"/>
        <rFont val="Meiryo UI"/>
        <family val="0"/>
        <charset val="1"/>
      </rPr>
      <t xml:space="preserve">43</t>
    </r>
    <r>
      <rPr>
        <sz val="9"/>
        <rFont val="Noto Sans CJK SC"/>
        <family val="2"/>
      </rPr>
      <t xml:space="preserve">箱を</t>
    </r>
    <r>
      <rPr>
        <sz val="9"/>
        <rFont val="Meiryo UI"/>
        <family val="0"/>
        <charset val="1"/>
      </rPr>
      <t xml:space="preserve">5</t>
    </r>
    <r>
      <rPr>
        <sz val="9"/>
        <rFont val="Noto Sans CJK SC"/>
        <family val="2"/>
      </rPr>
      <t xml:space="preserve">〜</t>
    </r>
    <r>
      <rPr>
        <sz val="9"/>
        <rFont val="Meiryo UI"/>
        <family val="0"/>
        <charset val="1"/>
      </rPr>
      <t xml:space="preserve">6</t>
    </r>
    <r>
      <rPr>
        <sz val="9"/>
        <rFont val="Noto Sans CJK SC"/>
        <family val="2"/>
      </rPr>
      <t xml:space="preserve">回に分けて運ぶ」</t>
    </r>
  </si>
  <si>
    <t xml:space="preserve">添付書類との一致</t>
  </si>
  <si>
    <t xml:space="preserve">「株式会社フジシール（兵庫県尼崎市）」</t>
  </si>
  <si>
    <r>
      <rPr>
        <sz val="9"/>
        <rFont val="Noto Sans CJK SC"/>
        <family val="2"/>
      </rPr>
      <t xml:space="preserve">見積書（</t>
    </r>
    <r>
      <rPr>
        <sz val="9"/>
        <rFont val="Meiryo UI"/>
        <family val="0"/>
        <charset val="1"/>
      </rPr>
      <t xml:space="preserve">2026/9/24</t>
    </r>
    <r>
      <rPr>
        <sz val="9"/>
        <rFont val="Noto Sans CJK SC"/>
        <family val="2"/>
      </rPr>
      <t xml:space="preserve">、</t>
    </r>
    <r>
      <rPr>
        <sz val="9"/>
        <rFont val="Meiryo UI"/>
        <family val="0"/>
        <charset val="1"/>
      </rPr>
      <t xml:space="preserve">No.20260924</t>
    </r>
    <r>
      <rPr>
        <sz val="9"/>
        <rFont val="Noto Sans CJK SC"/>
        <family val="2"/>
      </rPr>
      <t xml:space="preserve">）の発行元の住所・社名と一致しているかを確認する（相見積・交付申請時の書類とも整合させる）。</t>
    </r>
  </si>
  <si>
    <t xml:space="preserve">見積書の記載に合わせる。</t>
  </si>
  <si>
    <r>
      <rPr>
        <sz val="9"/>
        <rFont val="Noto Sans CJK SC"/>
        <family val="2"/>
      </rPr>
      <t xml:space="preserve">図元データ </t>
    </r>
    <r>
      <rPr>
        <sz val="9"/>
        <rFont val="Meiryo UI"/>
        <family val="0"/>
        <charset val="1"/>
      </rPr>
      <t xml:space="preserve">pptx v3 p.9</t>
    </r>
  </si>
  <si>
    <t xml:space="preserve">記載可否・口頭審査の準備</t>
  </si>
  <si>
    <r>
      <rPr>
        <sz val="9"/>
        <rFont val="Meiryo UI"/>
        <family val="0"/>
        <charset val="1"/>
      </rPr>
      <t xml:space="preserve">1</t>
    </r>
    <r>
      <rPr>
        <sz val="9"/>
        <rFont val="Noto Sans CJK SC"/>
        <family val="2"/>
      </rPr>
      <t xml:space="preserve">．事業内容②、</t>
    </r>
    <r>
      <rPr>
        <sz val="9"/>
        <rFont val="Meiryo UI"/>
        <family val="0"/>
        <charset val="1"/>
      </rPr>
      <t xml:space="preserve">1-1 S2</t>
    </r>
    <r>
      <rPr>
        <sz val="9"/>
        <rFont val="Noto Sans CJK SC"/>
        <family val="2"/>
      </rPr>
      <t xml:space="preserve">、</t>
    </r>
    <r>
      <rPr>
        <sz val="9"/>
        <rFont val="Meiryo UI"/>
        <family val="0"/>
        <charset val="1"/>
      </rPr>
      <t xml:space="preserve">4</t>
    </r>
    <r>
      <rPr>
        <sz val="9"/>
        <rFont val="Noto Sans CJK SC"/>
        <family val="2"/>
      </rPr>
      <t xml:space="preserve">章【</t>
    </r>
    <r>
      <rPr>
        <sz val="9"/>
        <rFont val="Meiryo UI"/>
        <family val="0"/>
        <charset val="1"/>
      </rPr>
      <t xml:space="preserve">1</t>
    </r>
    <r>
      <rPr>
        <sz val="9"/>
        <rFont val="Noto Sans CJK SC"/>
        <family val="2"/>
      </rPr>
      <t xml:space="preserve">】</t>
    </r>
  </si>
  <si>
    <r>
      <rPr>
        <sz val="9"/>
        <rFont val="Noto Sans CJK SC"/>
        <family val="2"/>
      </rPr>
      <t xml:space="preserve">「イオントップバリュ（</t>
    </r>
    <r>
      <rPr>
        <sz val="9"/>
        <rFont val="Meiryo UI"/>
        <family val="0"/>
        <charset val="1"/>
      </rPr>
      <t xml:space="preserve">25</t>
    </r>
    <r>
      <rPr>
        <sz val="9"/>
        <rFont val="Noto Sans CJK SC"/>
        <family val="2"/>
      </rPr>
      <t xml:space="preserve">〜</t>
    </r>
    <r>
      <rPr>
        <sz val="9"/>
        <rFont val="Meiryo UI"/>
        <family val="0"/>
        <charset val="1"/>
      </rPr>
      <t xml:space="preserve">30</t>
    </r>
    <r>
      <rPr>
        <sz val="9"/>
        <rFont val="Noto Sans CJK SC"/>
        <family val="2"/>
      </rPr>
      <t xml:space="preserve">年、</t>
    </r>
    <r>
      <rPr>
        <sz val="9"/>
        <rFont val="Meiryo UI"/>
        <family val="0"/>
        <charset val="1"/>
      </rPr>
      <t xml:space="preserve">ODM</t>
    </r>
    <r>
      <rPr>
        <sz val="9"/>
        <rFont val="Noto Sans CJK SC"/>
        <family val="2"/>
      </rPr>
      <t xml:space="preserve">）、森永乳業（</t>
    </r>
    <r>
      <rPr>
        <sz val="9"/>
        <rFont val="Meiryo UI"/>
        <family val="0"/>
        <charset val="1"/>
      </rPr>
      <t xml:space="preserve">15</t>
    </r>
    <r>
      <rPr>
        <sz val="9"/>
        <rFont val="Noto Sans CJK SC"/>
        <family val="2"/>
      </rPr>
      <t xml:space="preserve">〜</t>
    </r>
    <r>
      <rPr>
        <sz val="9"/>
        <rFont val="Meiryo UI"/>
        <family val="0"/>
        <charset val="1"/>
      </rPr>
      <t xml:space="preserve">20</t>
    </r>
    <r>
      <rPr>
        <sz val="9"/>
        <rFont val="Noto Sans CJK SC"/>
        <family val="2"/>
      </rPr>
      <t xml:space="preserve">年）、明治（</t>
    </r>
    <r>
      <rPr>
        <sz val="9"/>
        <rFont val="Meiryo UI"/>
        <family val="0"/>
        <charset val="1"/>
      </rPr>
      <t xml:space="preserve">10</t>
    </r>
    <r>
      <rPr>
        <sz val="9"/>
        <rFont val="Noto Sans CJK SC"/>
        <family val="2"/>
      </rPr>
      <t xml:space="preserve">年）、ヤクルト（</t>
    </r>
    <r>
      <rPr>
        <sz val="9"/>
        <rFont val="Meiryo UI"/>
        <family val="0"/>
        <charset val="1"/>
      </rPr>
      <t xml:space="preserve">7</t>
    </r>
    <r>
      <rPr>
        <sz val="9"/>
        <rFont val="Noto Sans CJK SC"/>
        <family val="2"/>
      </rPr>
      <t xml:space="preserve">〜</t>
    </r>
    <r>
      <rPr>
        <sz val="9"/>
        <rFont val="Meiryo UI"/>
        <family val="0"/>
        <charset val="1"/>
      </rPr>
      <t xml:space="preserve">8</t>
    </r>
    <r>
      <rPr>
        <sz val="9"/>
        <rFont val="Noto Sans CJK SC"/>
        <family val="2"/>
      </rPr>
      <t xml:space="preserve">年）」</t>
    </r>
  </si>
  <si>
    <r>
      <rPr>
        <sz val="9"/>
        <rFont val="Noto Sans CJK SC"/>
        <family val="2"/>
      </rPr>
      <t xml:space="preserve">取引先名・取引年数の記載可否（守秘）をクライアントに確認する。ヒアリングでは「イオン向けは外注、ヤクルトは</t>
    </r>
    <r>
      <rPr>
        <sz val="9"/>
        <rFont val="Meiryo UI"/>
        <family val="0"/>
        <charset val="1"/>
      </rPr>
      <t xml:space="preserve">G</t>
    </r>
    <r>
      <rPr>
        <sz val="9"/>
        <rFont val="Noto Sans CJK SC"/>
        <family val="2"/>
      </rPr>
      <t xml:space="preserve">ラインで製造していない」とのことなので、口頭審査で「</t>
    </r>
    <r>
      <rPr>
        <sz val="9"/>
        <rFont val="Meiryo UI"/>
        <family val="0"/>
        <charset val="1"/>
      </rPr>
      <t xml:space="preserve">G</t>
    </r>
    <r>
      <rPr>
        <sz val="9"/>
        <rFont val="Noto Sans CJK SC"/>
        <family val="2"/>
      </rPr>
      <t xml:space="preserve">ラインの</t>
    </r>
    <r>
      <rPr>
        <sz val="9"/>
        <rFont val="Meiryo UI"/>
        <family val="0"/>
        <charset val="1"/>
      </rPr>
      <t xml:space="preserve">ODM</t>
    </r>
    <r>
      <rPr>
        <sz val="9"/>
        <rFont val="Noto Sans CJK SC"/>
        <family val="2"/>
      </rPr>
      <t xml:space="preserve">事例か」「</t>
    </r>
    <r>
      <rPr>
        <sz val="9"/>
        <rFont val="Meiryo UI"/>
        <family val="0"/>
        <charset val="1"/>
      </rPr>
      <t xml:space="preserve">G</t>
    </r>
    <r>
      <rPr>
        <sz val="9"/>
        <rFont val="Noto Sans CJK SC"/>
        <family val="2"/>
      </rPr>
      <t xml:space="preserve">ラインの主な取引先は」と問われた際の回答（</t>
    </r>
    <r>
      <rPr>
        <sz val="9"/>
        <rFont val="Meiryo UI"/>
        <family val="0"/>
        <charset val="1"/>
      </rPr>
      <t xml:space="preserve">G</t>
    </r>
    <r>
      <rPr>
        <sz val="9"/>
        <rFont val="Noto Sans CJK SC"/>
        <family val="2"/>
      </rPr>
      <t xml:space="preserve">ラインは森永・明治・大正製薬・味の素・自社グループ品が中心）を準備しておく。</t>
    </r>
  </si>
  <si>
    <r>
      <rPr>
        <sz val="9"/>
        <rFont val="Noto Sans CJK SC"/>
        <family val="2"/>
      </rPr>
      <t xml:space="preserve">クライアント確認のうえ、必要なら社名を伏せる（例：大手流通</t>
    </r>
    <r>
      <rPr>
        <sz val="9"/>
        <rFont val="Meiryo UI"/>
        <family val="0"/>
        <charset val="1"/>
      </rPr>
      <t xml:space="preserve">A</t>
    </r>
    <r>
      <rPr>
        <sz val="9"/>
        <rFont val="Noto Sans CJK SC"/>
        <family val="2"/>
      </rPr>
      <t xml:space="preserve">社）。</t>
    </r>
  </si>
  <si>
    <t xml:space="preserve">口頭審査</t>
  </si>
  <si>
    <r>
      <rPr>
        <sz val="9"/>
        <rFont val="Noto Sans CJK SC"/>
        <family val="2"/>
      </rPr>
      <t xml:space="preserve">ヒアリングリスト</t>
    </r>
    <r>
      <rPr>
        <sz val="9"/>
        <rFont val="Meiryo UI"/>
        <family val="0"/>
        <charset val="1"/>
      </rPr>
      <t xml:space="preserve">v5</t>
    </r>
    <r>
      <rPr>
        <sz val="9"/>
        <rFont val="Noto Sans CJK SC"/>
        <family val="2"/>
      </rPr>
      <t xml:space="preserve">「</t>
    </r>
    <r>
      <rPr>
        <sz val="9"/>
        <rFont val="Meiryo UI"/>
        <family val="0"/>
        <charset val="1"/>
      </rPr>
      <t xml:space="preserve">1.</t>
    </r>
    <r>
      <rPr>
        <sz val="9"/>
        <rFont val="Noto Sans CJK SC"/>
        <family val="2"/>
      </rPr>
      <t xml:space="preserve">会社の状況」</t>
    </r>
  </si>
  <si>
    <t xml:space="preserve">前提数値</t>
  </si>
  <si>
    <r>
      <rPr>
        <sz val="9"/>
        <rFont val="Meiryo UI"/>
        <family val="0"/>
        <charset val="1"/>
      </rPr>
      <t xml:space="preserve">2-1④</t>
    </r>
    <r>
      <rPr>
        <sz val="9"/>
        <rFont val="Noto Sans CJK SC"/>
        <family val="2"/>
      </rPr>
      <t xml:space="preserve">注記「両者は年</t>
    </r>
    <r>
      <rPr>
        <sz val="9"/>
        <rFont val="Meiryo UI"/>
        <family val="0"/>
        <charset val="1"/>
      </rPr>
      <t xml:space="preserve">245</t>
    </r>
    <r>
      <rPr>
        <sz val="9"/>
        <rFont val="Noto Sans CJK SC"/>
        <family val="2"/>
      </rPr>
      <t xml:space="preserve">稼働日の約半分ずつ」、その３（別紙３）「年間稼働日数</t>
    </r>
    <r>
      <rPr>
        <sz val="9"/>
        <rFont val="Meiryo UI"/>
        <family val="0"/>
        <charset val="1"/>
      </rPr>
      <t xml:space="preserve">245</t>
    </r>
    <r>
      <rPr>
        <sz val="9"/>
        <rFont val="Noto Sans CJK SC"/>
        <family val="2"/>
      </rPr>
      <t xml:space="preserve">日」</t>
    </r>
  </si>
  <si>
    <r>
      <rPr>
        <sz val="9"/>
        <rFont val="Noto Sans CJK SC"/>
        <family val="2"/>
      </rPr>
      <t xml:space="preserve">「年間稼働日数</t>
    </r>
    <r>
      <rPr>
        <sz val="9"/>
        <rFont val="Meiryo UI"/>
        <family val="0"/>
        <charset val="1"/>
      </rPr>
      <t xml:space="preserve">245</t>
    </r>
    <r>
      <rPr>
        <sz val="9"/>
        <rFont val="Noto Sans CJK SC"/>
        <family val="2"/>
      </rPr>
      <t xml:space="preserve">日＝本事業を行う</t>
    </r>
    <r>
      <rPr>
        <sz val="9"/>
        <rFont val="Meiryo UI"/>
        <family val="0"/>
        <charset val="1"/>
      </rPr>
      <t xml:space="preserve">G</t>
    </r>
    <r>
      <rPr>
        <sz val="9"/>
        <rFont val="Noto Sans CJK SC"/>
        <family val="2"/>
      </rPr>
      <t xml:space="preserve">ライン（製袋室）の年間稼働日数」</t>
    </r>
  </si>
  <si>
    <r>
      <rPr>
        <sz val="9"/>
        <rFont val="Noto Sans CJK SC"/>
        <family val="2"/>
      </rPr>
      <t xml:space="preserve">ヒアリングリスト</t>
    </r>
    <r>
      <rPr>
        <sz val="9"/>
        <rFont val="Meiryo UI"/>
        <family val="0"/>
        <charset val="1"/>
      </rPr>
      <t xml:space="preserve">v5</t>
    </r>
    <r>
      <rPr>
        <sz val="9"/>
        <rFont val="Noto Sans CJK SC"/>
        <family val="2"/>
      </rPr>
      <t xml:space="preserve">では「</t>
    </r>
    <r>
      <rPr>
        <sz val="9"/>
        <rFont val="Meiryo UI"/>
        <family val="0"/>
        <charset val="1"/>
      </rPr>
      <t xml:space="preserve">15</t>
    </r>
    <r>
      <rPr>
        <sz val="9"/>
        <rFont val="Noto Sans CJK SC"/>
        <family val="2"/>
      </rPr>
      <t xml:space="preserve">万袋（</t>
    </r>
    <r>
      <rPr>
        <sz val="9"/>
        <rFont val="Meiryo UI"/>
        <family val="0"/>
        <charset val="1"/>
      </rPr>
      <t xml:space="preserve">1</t>
    </r>
    <r>
      <rPr>
        <sz val="9"/>
        <rFont val="Noto Sans CJK SC"/>
        <family val="2"/>
      </rPr>
      <t xml:space="preserve">品種・月</t>
    </r>
    <r>
      <rPr>
        <sz val="9"/>
        <rFont val="Meiryo UI"/>
        <family val="0"/>
        <charset val="1"/>
      </rPr>
      <t xml:space="preserve">11</t>
    </r>
    <r>
      <rPr>
        <sz val="9"/>
        <rFont val="Noto Sans CJK SC"/>
        <family val="2"/>
      </rPr>
      <t xml:space="preserve">日）、</t>
    </r>
    <r>
      <rPr>
        <sz val="9"/>
        <rFont val="Meiryo UI"/>
        <family val="0"/>
        <charset val="1"/>
      </rPr>
      <t xml:space="preserve">10</t>
    </r>
    <r>
      <rPr>
        <sz val="9"/>
        <rFont val="Noto Sans CJK SC"/>
        <family val="2"/>
      </rPr>
      <t xml:space="preserve">万袋（</t>
    </r>
    <r>
      <rPr>
        <sz val="9"/>
        <rFont val="Meiryo UI"/>
        <family val="0"/>
        <charset val="1"/>
      </rPr>
      <t xml:space="preserve">2</t>
    </r>
    <r>
      <rPr>
        <sz val="9"/>
        <rFont val="Noto Sans CJK SC"/>
        <family val="2"/>
      </rPr>
      <t xml:space="preserve">品種・月</t>
    </r>
    <r>
      <rPr>
        <sz val="9"/>
        <rFont val="Meiryo UI"/>
        <family val="0"/>
        <charset val="1"/>
      </rPr>
      <t xml:space="preserve">11</t>
    </r>
    <r>
      <rPr>
        <sz val="9"/>
        <rFont val="Noto Sans CJK SC"/>
        <family val="2"/>
      </rPr>
      <t xml:space="preserve">日）」＝月</t>
    </r>
    <r>
      <rPr>
        <sz val="9"/>
        <rFont val="Meiryo UI"/>
        <family val="0"/>
        <charset val="1"/>
      </rPr>
      <t xml:space="preserve">22</t>
    </r>
    <r>
      <rPr>
        <sz val="9"/>
        <rFont val="Noto Sans CJK SC"/>
        <family val="2"/>
      </rPr>
      <t xml:space="preserve">日（年</t>
    </r>
    <r>
      <rPr>
        <sz val="9"/>
        <rFont val="Meiryo UI"/>
        <family val="0"/>
        <charset val="1"/>
      </rPr>
      <t xml:space="preserve">264</t>
    </r>
    <r>
      <rPr>
        <sz val="9"/>
        <rFont val="Noto Sans CJK SC"/>
        <family val="2"/>
      </rPr>
      <t xml:space="preserve">日）。</t>
    </r>
    <r>
      <rPr>
        <sz val="9"/>
        <rFont val="Meiryo UI"/>
        <family val="0"/>
        <charset val="1"/>
      </rPr>
      <t xml:space="preserve">245</t>
    </r>
    <r>
      <rPr>
        <sz val="9"/>
        <rFont val="Noto Sans CJK SC"/>
        <family val="2"/>
      </rPr>
      <t xml:space="preserve">日（月約</t>
    </r>
    <r>
      <rPr>
        <sz val="9"/>
        <rFont val="Meiryo UI"/>
        <family val="0"/>
        <charset val="1"/>
      </rPr>
      <t xml:space="preserve">20.4</t>
    </r>
    <r>
      <rPr>
        <sz val="9"/>
        <rFont val="Noto Sans CJK SC"/>
        <family val="2"/>
      </rPr>
      <t xml:space="preserve">日）の根拠（年間稼働カレンダー等）を確認する。</t>
    </r>
    <r>
      <rPr>
        <sz val="9"/>
        <rFont val="Meiryo UI"/>
        <family val="0"/>
        <charset val="1"/>
      </rPr>
      <t xml:space="preserve">245</t>
    </r>
    <r>
      <rPr>
        <sz val="9"/>
        <rFont val="Noto Sans CJK SC"/>
        <family val="2"/>
      </rPr>
      <t xml:space="preserve">日は人件費単価（</t>
    </r>
    <r>
      <rPr>
        <sz val="9"/>
        <rFont val="Meiryo UI"/>
        <family val="0"/>
        <charset val="1"/>
      </rPr>
      <t xml:space="preserve">188</t>
    </r>
    <r>
      <rPr>
        <sz val="9"/>
        <rFont val="Noto Sans CJK SC"/>
        <family val="2"/>
      </rPr>
      <t xml:space="preserve">名</t>
    </r>
    <r>
      <rPr>
        <sz val="9"/>
        <rFont val="Meiryo UI"/>
        <family val="0"/>
        <charset val="1"/>
      </rPr>
      <t xml:space="preserve">×245</t>
    </r>
    <r>
      <rPr>
        <sz val="9"/>
        <rFont val="Noto Sans CJK SC"/>
        <family val="2"/>
      </rPr>
      <t xml:space="preserve">日</t>
    </r>
    <r>
      <rPr>
        <sz val="9"/>
        <rFont val="Meiryo UI"/>
        <family val="0"/>
        <charset val="1"/>
      </rPr>
      <t xml:space="preserve">×8</t>
    </r>
    <r>
      <rPr>
        <sz val="9"/>
        <rFont val="Noto Sans CJK SC"/>
        <family val="2"/>
      </rPr>
      <t xml:space="preserve">時間）にも使っており、計画の中では整合している。</t>
    </r>
  </si>
  <si>
    <t xml:space="preserve">根拠を確認し、口頭審査で説明できるよう準備する。</t>
  </si>
  <si>
    <r>
      <rPr>
        <sz val="9"/>
        <rFont val="Meiryo UI"/>
        <family val="0"/>
        <charset val="1"/>
      </rPr>
      <t xml:space="preserve">2-a</t>
    </r>
    <r>
      <rPr>
        <sz val="9"/>
        <rFont val="Noto Sans CJK SC"/>
        <family val="2"/>
      </rPr>
      <t xml:space="preserve">、</t>
    </r>
    <r>
      <rPr>
        <sz val="9"/>
        <rFont val="Meiryo UI"/>
        <family val="0"/>
        <charset val="1"/>
      </rPr>
      <t xml:space="preserve">2-b</t>
    </r>
  </si>
  <si>
    <r>
      <rPr>
        <sz val="9"/>
        <rFont val="Noto Sans CJK SC"/>
        <family val="2"/>
      </rPr>
      <t xml:space="preserve">ヒアリングリスト</t>
    </r>
    <r>
      <rPr>
        <sz val="9"/>
        <rFont val="Meiryo UI"/>
        <family val="0"/>
        <charset val="1"/>
      </rPr>
      <t xml:space="preserve">v5</t>
    </r>
    <r>
      <rPr>
        <sz val="9"/>
        <rFont val="Noto Sans CJK SC"/>
        <family val="2"/>
      </rPr>
      <t xml:space="preserve">「</t>
    </r>
    <r>
      <rPr>
        <sz val="9"/>
        <rFont val="Meiryo UI"/>
        <family val="0"/>
        <charset val="1"/>
      </rPr>
      <t xml:space="preserve">2.</t>
    </r>
    <r>
      <rPr>
        <sz val="9"/>
        <rFont val="Noto Sans CJK SC"/>
        <family val="2"/>
      </rPr>
      <t xml:space="preserve">現在のパウチ供給作業の実態」</t>
    </r>
  </si>
  <si>
    <t xml:space="preserve">記載の明確化</t>
  </si>
  <si>
    <r>
      <rPr>
        <sz val="9"/>
        <rFont val="Meiryo UI"/>
        <family val="0"/>
        <charset val="1"/>
      </rPr>
      <t xml:space="preserve">6</t>
    </r>
    <r>
      <rPr>
        <sz val="9"/>
        <rFont val="Noto Sans CJK SC"/>
        <family val="2"/>
      </rPr>
      <t xml:space="preserve">章①⑥サイバーセキュリティ</t>
    </r>
  </si>
  <si>
    <r>
      <rPr>
        <sz val="9"/>
        <rFont val="Noto Sans CJK SC"/>
        <family val="2"/>
      </rPr>
      <t xml:space="preserve">「</t>
    </r>
    <r>
      <rPr>
        <sz val="9"/>
        <rFont val="Meiryo UI"/>
        <family val="0"/>
        <charset val="1"/>
      </rPr>
      <t xml:space="preserve">IPA</t>
    </r>
    <r>
      <rPr>
        <sz val="9"/>
        <rFont val="Noto Sans CJK SC"/>
        <family val="2"/>
      </rPr>
      <t xml:space="preserve">（情報処理推進機構）の「</t>
    </r>
    <r>
      <rPr>
        <sz val="9"/>
        <rFont val="Meiryo UI"/>
        <family val="0"/>
        <charset val="1"/>
      </rPr>
      <t xml:space="preserve">SECURITY ACTION</t>
    </r>
    <r>
      <rPr>
        <sz val="9"/>
        <rFont val="Noto Sans CJK SC"/>
        <family val="2"/>
      </rPr>
      <t xml:space="preserve">」二つ星を宣言し、山崎常務を情報セキュリティ責任者とする」</t>
    </r>
  </si>
  <si>
    <r>
      <rPr>
        <sz val="9"/>
        <rFont val="Noto Sans CJK SC"/>
        <family val="2"/>
      </rPr>
      <t xml:space="preserve">宣言済みなのか、申請までに宣言するのかがはっきりしない。宣言済みと書ければ審査項目</t>
    </r>
    <r>
      <rPr>
        <sz val="9"/>
        <rFont val="Meiryo UI"/>
        <family val="0"/>
        <charset val="1"/>
      </rPr>
      <t xml:space="preserve">3-c</t>
    </r>
    <r>
      <rPr>
        <sz val="9"/>
        <rFont val="Noto Sans CJK SC"/>
        <family val="2"/>
      </rPr>
      <t xml:space="preserve">（サイバーセキュリティ対策の状況）に直接効く。</t>
    </r>
  </si>
  <si>
    <t xml:space="preserve">宣言済みなら「宣言済み（○年○月）」と記載し、未了なら申請前に宣言する。</t>
  </si>
  <si>
    <t xml:space="preserve">手続き</t>
  </si>
  <si>
    <t xml:space="preserve">申請システム</t>
  </si>
  <si>
    <r>
      <rPr>
        <sz val="9"/>
        <rFont val="Meiryo UI"/>
        <family val="0"/>
        <charset val="1"/>
      </rPr>
      <t xml:space="preserve">5</t>
    </r>
    <r>
      <rPr>
        <sz val="9"/>
        <rFont val="Noto Sans CJK SC"/>
        <family val="2"/>
      </rPr>
      <t xml:space="preserve">章②社外の実施体制</t>
    </r>
  </si>
  <si>
    <t xml:space="preserve">「株式会社ライズウィル（計画作成支援）」</t>
  </si>
  <si>
    <r>
      <rPr>
        <sz val="9"/>
        <rFont val="Noto Sans CJK SC"/>
        <family val="2"/>
      </rPr>
      <t xml:space="preserve">手引き</t>
    </r>
    <r>
      <rPr>
        <sz val="9"/>
        <rFont val="Meiryo UI"/>
        <family val="0"/>
        <charset val="1"/>
      </rPr>
      <t xml:space="preserve">7-2</t>
    </r>
    <r>
      <rPr>
        <sz val="9"/>
        <rFont val="Noto Sans CJK SC"/>
        <family val="2"/>
      </rPr>
      <t xml:space="preserve">：申請時に作成支援者の名称・報酬・契約期間を入力する（未記載は虚偽申請の扱い）。計画書の記載と申請システムの入力の一致を確認する。</t>
    </r>
  </si>
  <si>
    <t xml:space="preserve">申請システムに名称・報酬・契約期間を入力する。</t>
  </si>
  <si>
    <r>
      <rPr>
        <sz val="9"/>
        <rFont val="Noto Sans CJK SC"/>
        <family val="2"/>
      </rPr>
      <t xml:space="preserve">必須</t>
    </r>
    <r>
      <rPr>
        <sz val="9"/>
        <rFont val="Meiryo UI"/>
        <family val="0"/>
        <charset val="1"/>
      </rPr>
      <t xml:space="preserve">8</t>
    </r>
  </si>
  <si>
    <r>
      <rPr>
        <sz val="9"/>
        <rFont val="Noto Sans CJK SC"/>
        <family val="2"/>
      </rPr>
      <t xml:space="preserve">手引き（第</t>
    </r>
    <r>
      <rPr>
        <sz val="9"/>
        <rFont val="Meiryo UI"/>
        <family val="0"/>
        <charset val="1"/>
      </rPr>
      <t xml:space="preserve">8</t>
    </r>
    <r>
      <rPr>
        <sz val="9"/>
        <rFont val="Noto Sans CJK SC"/>
        <family val="2"/>
      </rPr>
      <t xml:space="preserve">回）</t>
    </r>
    <r>
      <rPr>
        <sz val="9"/>
        <rFont val="Meiryo UI"/>
        <family val="0"/>
        <charset val="1"/>
      </rPr>
      <t xml:space="preserve">7-2 p.56</t>
    </r>
  </si>
  <si>
    <r>
      <rPr>
        <sz val="9"/>
        <rFont val="Meiryo UI"/>
        <family val="0"/>
        <charset val="1"/>
      </rPr>
      <t xml:space="preserve">2</t>
    </r>
    <r>
      <rPr>
        <sz val="9"/>
        <rFont val="Noto Sans CJK SC"/>
        <family val="2"/>
      </rPr>
      <t xml:space="preserve">章④、</t>
    </r>
    <r>
      <rPr>
        <sz val="9"/>
        <rFont val="Meiryo UI"/>
        <family val="0"/>
        <charset val="1"/>
      </rPr>
      <t xml:space="preserve">5</t>
    </r>
    <r>
      <rPr>
        <sz val="9"/>
        <rFont val="Noto Sans CJK SC"/>
        <family val="2"/>
      </rPr>
      <t xml:space="preserve">章③「１．」</t>
    </r>
  </si>
  <si>
    <r>
      <rPr>
        <sz val="9"/>
        <rFont val="Noto Sans CJK SC"/>
        <family val="2"/>
      </rPr>
      <t xml:space="preserve">「採択後は同一仕様で</t>
    </r>
    <r>
      <rPr>
        <sz val="9"/>
        <rFont val="Meiryo UI"/>
        <family val="0"/>
        <charset val="1"/>
      </rPr>
      <t xml:space="preserve">2</t>
    </r>
    <r>
      <rPr>
        <sz val="9"/>
        <rFont val="Noto Sans CJK SC"/>
        <family val="2"/>
      </rPr>
      <t xml:space="preserve">者以上に見積を依頼し、価格の妥当性を確認する」</t>
    </r>
  </si>
  <si>
    <t xml:space="preserve">本計画は「汎用品・中古機では実現できない」「当社の製袋機・パウチを熟知するフジシール」を選定理由にしているため、同一仕様の相見積が取れない可能性がある。その場合に必要な業者選定理由書の準備と、計画書の記載との整合を確認する。</t>
  </si>
  <si>
    <t xml:space="preserve">相見積の候補先を事前に確認し、取れない場合の選定理由を準備する。</t>
  </si>
  <si>
    <t xml:space="preserve">要件・加点の手続き</t>
  </si>
  <si>
    <t xml:space="preserve">申請システム／添付書類</t>
  </si>
  <si>
    <t xml:space="preserve">（計画書の外）</t>
  </si>
  <si>
    <r>
      <rPr>
        <sz val="9"/>
        <rFont val="Noto Sans CJK SC"/>
        <family val="2"/>
      </rPr>
      <t xml:space="preserve">①一般事業主行動計画（従業員</t>
    </r>
    <r>
      <rPr>
        <sz val="9"/>
        <rFont val="Meiryo UI"/>
        <family val="0"/>
        <charset val="1"/>
      </rPr>
      <t xml:space="preserve">21</t>
    </r>
    <r>
      <rPr>
        <sz val="9"/>
        <rFont val="Noto Sans CJK SC"/>
        <family val="2"/>
      </rPr>
      <t xml:space="preserve">名以上：交付申請時までに「両立支援のひろば」で公表。応募時は公表</t>
    </r>
    <r>
      <rPr>
        <sz val="9"/>
        <rFont val="Meiryo UI"/>
        <family val="0"/>
        <charset val="1"/>
      </rPr>
      <t xml:space="preserve">URL</t>
    </r>
    <r>
      <rPr>
        <sz val="9"/>
        <rFont val="Noto Sans CJK SC"/>
        <family val="2"/>
      </rPr>
      <t xml:space="preserve">または宣誓）
②他の助成制度の利用実績確認書（ものづくり補助金</t>
    </r>
    <r>
      <rPr>
        <sz val="9"/>
        <rFont val="Meiryo UI"/>
        <family val="0"/>
        <charset val="1"/>
      </rPr>
      <t xml:space="preserve">21</t>
    </r>
    <r>
      <rPr>
        <sz val="9"/>
        <rFont val="Noto Sans CJK SC"/>
        <family val="2"/>
      </rPr>
      <t xml:space="preserve">次〔グローバル枠〕の採択実績を記載）
③加点</t>
    </r>
    <r>
      <rPr>
        <sz val="9"/>
        <rFont val="Meiryo UI"/>
        <family val="0"/>
        <charset val="1"/>
      </rPr>
      <t xml:space="preserve">2</t>
    </r>
    <r>
      <rPr>
        <sz val="9"/>
        <rFont val="Noto Sans CJK SC"/>
        <family val="2"/>
      </rPr>
      <t xml:space="preserve">（事業継続力強化計画）、加点</t>
    </r>
    <r>
      <rPr>
        <sz val="9"/>
        <rFont val="Meiryo UI"/>
        <family val="0"/>
        <charset val="1"/>
      </rPr>
      <t xml:space="preserve">3</t>
    </r>
    <r>
      <rPr>
        <sz val="9"/>
        <rFont val="Noto Sans CJK SC"/>
        <family val="2"/>
      </rPr>
      <t xml:space="preserve">（成長加速マッチング：挑戦課題の登録まで）、加点</t>
    </r>
    <r>
      <rPr>
        <sz val="9"/>
        <rFont val="Meiryo UI"/>
        <family val="0"/>
        <charset val="1"/>
      </rPr>
      <t xml:space="preserve">5</t>
    </r>
    <r>
      <rPr>
        <sz val="9"/>
        <rFont val="Noto Sans CJK SC"/>
        <family val="2"/>
      </rPr>
      <t xml:space="preserve">（</t>
    </r>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月→応募直近月で事業場内最低賃金を</t>
    </r>
    <r>
      <rPr>
        <sz val="9"/>
        <rFont val="Meiryo UI"/>
        <family val="0"/>
        <charset val="1"/>
      </rPr>
      <t xml:space="preserve">55</t>
    </r>
    <r>
      <rPr>
        <sz val="9"/>
        <rFont val="Noto Sans CJK SC"/>
        <family val="2"/>
      </rPr>
      <t xml:space="preserve">円以上引上げ）、加点</t>
    </r>
    <r>
      <rPr>
        <sz val="9"/>
        <rFont val="Meiryo UI"/>
        <family val="0"/>
        <charset val="1"/>
      </rPr>
      <t xml:space="preserve">8</t>
    </r>
    <r>
      <rPr>
        <sz val="9"/>
        <rFont val="Noto Sans CJK SC"/>
        <family val="2"/>
      </rPr>
      <t xml:space="preserve">（省力化ナビ：</t>
    </r>
    <r>
      <rPr>
        <sz val="9"/>
        <rFont val="Meiryo UI"/>
        <family val="0"/>
        <charset val="1"/>
      </rPr>
      <t xml:space="preserve">G</t>
    </r>
    <r>
      <rPr>
        <sz val="9"/>
        <rFont val="Noto Sans CJK SC"/>
        <family val="2"/>
      </rPr>
      <t xml:space="preserve">ビズ</t>
    </r>
    <r>
      <rPr>
        <sz val="9"/>
        <rFont val="Meiryo UI"/>
        <family val="0"/>
        <charset val="1"/>
      </rPr>
      <t xml:space="preserve">ID</t>
    </r>
    <r>
      <rPr>
        <sz val="9"/>
        <rFont val="Noto Sans CJK SC"/>
        <family val="2"/>
      </rPr>
      <t xml:space="preserve">の一致）、加点</t>
    </r>
    <r>
      <rPr>
        <sz val="9"/>
        <rFont val="Meiryo UI"/>
        <family val="0"/>
        <charset val="1"/>
      </rPr>
      <t xml:space="preserve">10</t>
    </r>
    <r>
      <rPr>
        <sz val="9"/>
        <rFont val="Noto Sans CJK SC"/>
        <family val="2"/>
      </rPr>
      <t xml:space="preserve">（生産性向上支援センター）の該当可否・準備状況を確認する。</t>
    </r>
  </si>
  <si>
    <t xml:space="preserve">申請前のチェックリストで一つずつ確認する。</t>
  </si>
  <si>
    <r>
      <rPr>
        <sz val="9"/>
        <rFont val="Noto Sans CJK SC"/>
        <family val="2"/>
      </rPr>
      <t xml:space="preserve">必須</t>
    </r>
    <r>
      <rPr>
        <sz val="9"/>
        <rFont val="Meiryo UI"/>
        <family val="0"/>
        <charset val="1"/>
      </rPr>
      <t xml:space="preserve">5</t>
    </r>
    <r>
      <rPr>
        <sz val="9"/>
        <rFont val="Noto Sans CJK SC"/>
        <family val="2"/>
      </rPr>
      <t xml:space="preserve">、加点、減点</t>
    </r>
    <r>
      <rPr>
        <sz val="9"/>
        <rFont val="Meiryo UI"/>
        <family val="0"/>
        <charset val="1"/>
      </rPr>
      <t xml:space="preserve">2</t>
    </r>
  </si>
  <si>
    <r>
      <rPr>
        <sz val="9"/>
        <rFont val="Noto Sans CJK SC"/>
        <family val="2"/>
      </rPr>
      <t xml:space="preserve">公募要領</t>
    </r>
    <r>
      <rPr>
        <sz val="9"/>
        <rFont val="Meiryo UI"/>
        <family val="0"/>
        <charset val="1"/>
      </rPr>
      <t xml:space="preserve">1-5(1)④</t>
    </r>
    <r>
      <rPr>
        <sz val="9"/>
        <rFont val="Noto Sans CJK SC"/>
        <family val="2"/>
      </rPr>
      <t xml:space="preserve">・</t>
    </r>
    <r>
      <rPr>
        <sz val="9"/>
        <rFont val="Meiryo UI"/>
        <family val="0"/>
        <charset val="1"/>
      </rPr>
      <t xml:space="preserve">5-2</t>
    </r>
    <r>
      <rPr>
        <sz val="9"/>
        <rFont val="Noto Sans CJK SC"/>
        <family val="2"/>
      </rPr>
      <t xml:space="preserve">・</t>
    </r>
    <r>
      <rPr>
        <sz val="9"/>
        <rFont val="Meiryo UI"/>
        <family val="0"/>
        <charset val="1"/>
      </rPr>
      <t xml:space="preserve">4-4</t>
    </r>
  </si>
  <si>
    <t xml:space="preserve">画像（権利）</t>
  </si>
  <si>
    <t xml:space="preserve">図（パウチとスパウト）</t>
  </si>
  <si>
    <r>
      <rPr>
        <sz val="9"/>
        <rFont val="Meiryo UI"/>
        <family val="0"/>
        <charset val="1"/>
      </rPr>
      <t xml:space="preserve">1-2</t>
    </r>
    <r>
      <rPr>
        <sz val="9"/>
        <rFont val="Noto Sans CJK SC"/>
        <family val="2"/>
      </rPr>
      <t xml:space="preserve">課題①の図 写真④「スパウト単体」（出所：㈱フジシール</t>
    </r>
    <r>
      <rPr>
        <sz val="9"/>
        <rFont val="Meiryo UI"/>
        <family val="0"/>
        <charset val="1"/>
      </rPr>
      <t xml:space="preserve">Web</t>
    </r>
    <r>
      <rPr>
        <sz val="9"/>
        <rFont val="Noto Sans CJK SC"/>
        <family val="2"/>
      </rPr>
      <t xml:space="preserve">サイト）</t>
    </r>
  </si>
  <si>
    <r>
      <rPr>
        <sz val="9"/>
        <rFont val="Noto Sans CJK SC"/>
        <family val="2"/>
      </rPr>
      <t xml:space="preserve">図の出所表記「バランス㈱、トンボ飲料、㈱フジシール の各</t>
    </r>
    <r>
      <rPr>
        <sz val="9"/>
        <rFont val="Meiryo UI"/>
        <family val="0"/>
        <charset val="1"/>
      </rPr>
      <t xml:space="preserve">Web</t>
    </r>
    <r>
      <rPr>
        <sz val="9"/>
        <rFont val="Noto Sans CJK SC"/>
        <family val="2"/>
      </rPr>
      <t xml:space="preserve">サイト」</t>
    </r>
  </si>
  <si>
    <r>
      <rPr>
        <sz val="9"/>
        <rFont val="Noto Sans CJK SC"/>
        <family val="2"/>
      </rPr>
      <t xml:space="preserve">他社</t>
    </r>
    <r>
      <rPr>
        <sz val="9"/>
        <rFont val="Meiryo UI"/>
        <family val="0"/>
        <charset val="1"/>
      </rPr>
      <t xml:space="preserve">Web</t>
    </r>
    <r>
      <rPr>
        <sz val="9"/>
        <rFont val="Noto Sans CJK SC"/>
        <family val="2"/>
      </rPr>
      <t xml:space="preserve">サイトの写真を転載している。出所は明記されているが、フジシールに使用の了解を得ておくと安全。</t>
    </r>
  </si>
  <si>
    <t xml:space="preserve">フジシールに使用可否を確認する（不可なら自社撮影の写真に差し替え）。</t>
  </si>
  <si>
    <t xml:space="preserve">画像（体裁）</t>
  </si>
  <si>
    <t xml:space="preserve">図（各種）</t>
  </si>
  <si>
    <t xml:space="preserve">図「シフト別の人の配置」最下段、図「製袋室のレイアウト」、図「投入作業のサイクル」、図「パウチとスパウト」</t>
  </si>
  <si>
    <r>
      <rPr>
        <sz val="9"/>
        <rFont val="Noto Sans CJK SC"/>
        <family val="2"/>
      </rPr>
      <t xml:space="preserve">元データ（</t>
    </r>
    <r>
      <rPr>
        <sz val="9"/>
        <rFont val="Meiryo UI"/>
        <family val="0"/>
        <charset val="1"/>
      </rPr>
      <t xml:space="preserve">pptx v3</t>
    </r>
    <r>
      <rPr>
        <sz val="9"/>
        <rFont val="Noto Sans CJK SC"/>
        <family val="2"/>
      </rPr>
      <t xml:space="preserve">）を画像化した際に、合計行と注記の重なり、「</t>
    </r>
    <r>
      <rPr>
        <sz val="9"/>
        <rFont val="Meiryo UI"/>
        <family val="0"/>
        <charset val="1"/>
      </rPr>
      <t xml:space="preserve">h.</t>
    </r>
    <r>
      <rPr>
        <sz val="9"/>
        <rFont val="Noto Sans CJK SC"/>
        <family val="2"/>
      </rPr>
      <t xml:space="preserve">専用パレット」の文字とパレット図形の重なり、凡例「新設（</t>
    </r>
    <r>
      <rPr>
        <sz val="9"/>
        <rFont val="Meiryo UI"/>
        <family val="0"/>
        <charset val="1"/>
      </rPr>
      <t xml:space="preserve">g</t>
    </r>
    <r>
      <rPr>
        <sz val="9"/>
        <rFont val="Noto Sans CJK SC"/>
        <family val="2"/>
      </rPr>
      <t xml:space="preserve">・</t>
    </r>
    <r>
      <rPr>
        <sz val="9"/>
        <rFont val="Meiryo UI"/>
        <family val="0"/>
        <charset val="1"/>
      </rPr>
      <t xml:space="preserve">h</t>
    </r>
    <r>
      <rPr>
        <sz val="9"/>
        <rFont val="Noto Sans CJK SC"/>
        <family val="2"/>
      </rPr>
      <t xml:space="preserve">）」の改行、「</t>
    </r>
    <r>
      <rPr>
        <sz val="9"/>
        <rFont val="Meiryo UI"/>
        <family val="0"/>
        <charset val="1"/>
      </rPr>
      <t xml:space="preserve">1,050</t>
    </r>
    <r>
      <rPr>
        <sz val="9"/>
        <rFont val="Noto Sans CJK SC"/>
        <family val="2"/>
      </rPr>
      <t xml:space="preserve">分→</t>
    </r>
    <r>
      <rPr>
        <sz val="9"/>
        <rFont val="Meiryo UI"/>
        <family val="0"/>
        <charset val="1"/>
      </rPr>
      <t xml:space="preserve">251</t>
    </r>
    <r>
      <rPr>
        <sz val="9"/>
        <rFont val="Noto Sans CJK SC"/>
        <family val="2"/>
      </rPr>
      <t xml:space="preserve">分／日」の改行、用語欄と枠の重なりが見られた。</t>
    </r>
    <r>
      <rPr>
        <sz val="9"/>
        <rFont val="Meiryo UI"/>
        <family val="0"/>
        <charset val="1"/>
      </rPr>
      <t xml:space="preserve">PowerPoint</t>
    </r>
    <r>
      <rPr>
        <sz val="9"/>
        <rFont val="Noto Sans CJK SC"/>
        <family val="2"/>
      </rPr>
      <t xml:space="preserve">では正常な可能性もあるが、貼付画像で文字の欠け・重なりがないか目視確認が必要。</t>
    </r>
  </si>
  <si>
    <t xml:space="preserve">貼付画像を拡大して確認し、崩れがあれば元データを修正して貼り直す。</t>
  </si>
  <si>
    <r>
      <rPr>
        <sz val="9"/>
        <rFont val="Noto Sans CJK SC"/>
        <family val="2"/>
      </rPr>
      <t xml:space="preserve">図元データ </t>
    </r>
    <r>
      <rPr>
        <sz val="9"/>
        <rFont val="Meiryo UI"/>
        <family val="0"/>
        <charset val="1"/>
      </rPr>
      <t xml:space="preserve">pptx v3 p.3</t>
    </r>
    <r>
      <rPr>
        <sz val="9"/>
        <rFont val="Noto Sans CJK SC"/>
        <family val="2"/>
      </rPr>
      <t xml:space="preserve">・</t>
    </r>
    <r>
      <rPr>
        <sz val="9"/>
        <rFont val="Meiryo UI"/>
        <family val="0"/>
        <charset val="1"/>
      </rPr>
      <t xml:space="preserve">4</t>
    </r>
    <r>
      <rPr>
        <sz val="9"/>
        <rFont val="Noto Sans CJK SC"/>
        <family val="2"/>
      </rPr>
      <t xml:space="preserve">・</t>
    </r>
    <r>
      <rPr>
        <sz val="9"/>
        <rFont val="Meiryo UI"/>
        <family val="0"/>
        <charset val="1"/>
      </rPr>
      <t xml:space="preserve">6</t>
    </r>
    <r>
      <rPr>
        <sz val="9"/>
        <rFont val="Noto Sans CJK SC"/>
        <family val="2"/>
      </rPr>
      <t xml:space="preserve">・</t>
    </r>
    <r>
      <rPr>
        <sz val="9"/>
        <rFont val="Meiryo UI"/>
        <family val="0"/>
        <charset val="1"/>
      </rPr>
      <t xml:space="preserve">8</t>
    </r>
  </si>
  <si>
    <t xml:space="preserve">画像（個人情報・数値）</t>
  </si>
  <si>
    <t xml:space="preserve">図（当社の歴史と事業内容）</t>
  </si>
  <si>
    <r>
      <rPr>
        <sz val="9"/>
        <rFont val="Meiryo UI"/>
        <family val="0"/>
        <charset val="1"/>
      </rPr>
      <t xml:space="preserve">1</t>
    </r>
    <r>
      <rPr>
        <sz val="9"/>
        <rFont val="Noto Sans CJK SC"/>
        <family val="2"/>
      </rPr>
      <t xml:space="preserve">．当社概要【当社の歴史と事業内容】の画像</t>
    </r>
  </si>
  <si>
    <t xml:space="preserve">（画像のため未確認）</t>
  </si>
  <si>
    <r>
      <rPr>
        <sz val="9"/>
        <rFont val="Noto Sans CJK SC"/>
        <family val="2"/>
      </rPr>
      <t xml:space="preserve">公募要領</t>
    </r>
    <r>
      <rPr>
        <sz val="9"/>
        <rFont val="Meiryo UI"/>
        <family val="0"/>
        <charset val="1"/>
      </rPr>
      <t xml:space="preserve">4-5</t>
    </r>
    <r>
      <rPr>
        <sz val="9"/>
        <rFont val="Noto Sans CJK SC"/>
        <family val="2"/>
      </rPr>
      <t xml:space="preserve">「事業内容に直接関係のない不必要な個人情報（社長・役員・従業員・顧客の顔写真等）は掲載しない」。画像に人物の顔写真が含まれていないか、画像内の数値（創業</t>
    </r>
    <r>
      <rPr>
        <sz val="9"/>
        <rFont val="Meiryo UI"/>
        <family val="0"/>
        <charset val="1"/>
      </rPr>
      <t xml:space="preserve">1896</t>
    </r>
    <r>
      <rPr>
        <sz val="9"/>
        <rFont val="Noto Sans CJK SC"/>
        <family val="2"/>
      </rPr>
      <t xml:space="preserve">年、設立昭和</t>
    </r>
    <r>
      <rPr>
        <sz val="9"/>
        <rFont val="Meiryo UI"/>
        <family val="0"/>
        <charset val="1"/>
      </rPr>
      <t xml:space="preserve">37</t>
    </r>
    <r>
      <rPr>
        <sz val="9"/>
        <rFont val="Noto Sans CJK SC"/>
        <family val="2"/>
      </rPr>
      <t xml:space="preserve">年、売上、拠点等）が本文と一致しているかを目視で確認する（本体ファイルを取得できていないため未確認）。</t>
    </r>
  </si>
  <si>
    <t xml:space="preserve">顔写真があれば削除・差し替え。数値は本文と統一。</t>
  </si>
  <si>
    <r>
      <rPr>
        <sz val="9"/>
        <rFont val="Noto Sans CJK SC"/>
        <family val="2"/>
      </rPr>
      <t xml:space="preserve">公募要領</t>
    </r>
    <r>
      <rPr>
        <sz val="9"/>
        <rFont val="Meiryo UI"/>
        <family val="0"/>
        <charset val="1"/>
      </rPr>
      <t xml:space="preserve">4-5</t>
    </r>
  </si>
  <si>
    <t xml:space="preserve">数値照合（その１その２の記載値・その３の記載値を、元データから数式で再計算して照合）</t>
  </si>
  <si>
    <t xml:space="preserve">青字＝計画書・その３からの転記値（入力値）、黒字＝再計算の数式。判定：再計算値との差が許容差以内なら「一致」、超えれば「不一致」、記載値がない行は「参考」。</t>
  </si>
  <si>
    <t xml:space="preserve">区分</t>
  </si>
  <si>
    <t xml:space="preserve">項目</t>
  </si>
  <si>
    <t xml:space="preserve">その１その２の記載値</t>
  </si>
  <si>
    <t xml:space="preserve">その３の記載値</t>
  </si>
  <si>
    <t xml:space="preserve">再計算値（数式）</t>
  </si>
  <si>
    <t xml:space="preserve">単位</t>
  </si>
  <si>
    <t xml:space="preserve">許容差</t>
  </si>
  <si>
    <t xml:space="preserve">判定</t>
  </si>
  <si>
    <t xml:space="preserve">再計算の内容・備考</t>
  </si>
  <si>
    <r>
      <rPr>
        <b val="true"/>
        <sz val="9"/>
        <color rgb="FFFFFFFF"/>
        <rFont val="Noto Sans CJK SC"/>
        <family val="2"/>
      </rPr>
      <t xml:space="preserve">関連指摘</t>
    </r>
    <r>
      <rPr>
        <b val="true"/>
        <sz val="9"/>
        <color rgb="FFFFFFFF"/>
        <rFont val="Meiryo UI"/>
        <family val="0"/>
        <charset val="1"/>
      </rPr>
      <t xml:space="preserve">No.</t>
    </r>
  </si>
  <si>
    <t xml:space="preserve">工程時間</t>
  </si>
  <si>
    <t xml:space="preserve">削減される業務（現状②〜⑦）</t>
  </si>
  <si>
    <r>
      <rPr>
        <sz val="9"/>
        <rFont val="Noto Sans CJK SC"/>
        <family val="2"/>
      </rPr>
      <t xml:space="preserve">分</t>
    </r>
    <r>
      <rPr>
        <sz val="9"/>
        <rFont val="Meiryo UI"/>
        <family val="0"/>
        <charset val="1"/>
      </rPr>
      <t xml:space="preserve">/</t>
    </r>
    <r>
      <rPr>
        <sz val="9"/>
        <rFont val="Noto Sans CJK SC"/>
        <family val="2"/>
      </rPr>
      <t xml:space="preserve">日</t>
    </r>
  </si>
  <si>
    <r>
      <rPr>
        <sz val="9"/>
        <rFont val="Noto Sans CJK SC"/>
        <family val="2"/>
      </rPr>
      <t xml:space="preserve">開梱</t>
    </r>
    <r>
      <rPr>
        <sz val="9"/>
        <rFont val="Meiryo UI"/>
        <family val="0"/>
        <charset val="1"/>
      </rPr>
      <t xml:space="preserve">43</t>
    </r>
    <r>
      <rPr>
        <sz val="9"/>
        <rFont val="Noto Sans CJK SC"/>
        <family val="2"/>
      </rPr>
      <t xml:space="preserve">＋片付け</t>
    </r>
    <r>
      <rPr>
        <sz val="9"/>
        <rFont val="Meiryo UI"/>
        <family val="0"/>
        <charset val="1"/>
      </rPr>
      <t xml:space="preserve">22</t>
    </r>
    <r>
      <rPr>
        <sz val="9"/>
        <rFont val="Noto Sans CJK SC"/>
        <family val="2"/>
      </rPr>
      <t xml:space="preserve">＋ほぐし</t>
    </r>
    <r>
      <rPr>
        <sz val="9"/>
        <rFont val="Meiryo UI"/>
        <family val="0"/>
        <charset val="1"/>
      </rPr>
      <t xml:space="preserve">563</t>
    </r>
    <r>
      <rPr>
        <sz val="9"/>
        <rFont val="Noto Sans CJK SC"/>
        <family val="2"/>
      </rPr>
      <t xml:space="preserve">＋昇降</t>
    </r>
    <r>
      <rPr>
        <sz val="9"/>
        <rFont val="Meiryo UI"/>
        <family val="0"/>
        <charset val="1"/>
      </rPr>
      <t xml:space="preserve">79</t>
    </r>
    <r>
      <rPr>
        <sz val="9"/>
        <rFont val="Noto Sans CJK SC"/>
        <family val="2"/>
      </rPr>
      <t xml:space="preserve">＋手投入</t>
    </r>
    <r>
      <rPr>
        <sz val="9"/>
        <rFont val="Meiryo UI"/>
        <family val="0"/>
        <charset val="1"/>
      </rPr>
      <t xml:space="preserve">315</t>
    </r>
    <r>
      <rPr>
        <sz val="9"/>
        <rFont val="Noto Sans CJK SC"/>
        <family val="2"/>
      </rPr>
      <t xml:space="preserve">＋品種切替</t>
    </r>
    <r>
      <rPr>
        <sz val="9"/>
        <rFont val="Meiryo UI"/>
        <family val="0"/>
        <charset val="1"/>
      </rPr>
      <t xml:space="preserve">8</t>
    </r>
  </si>
  <si>
    <t xml:space="preserve">導入後に発生する業務（導入後②〜④）</t>
  </si>
  <si>
    <r>
      <rPr>
        <sz val="9"/>
        <rFont val="Noto Sans CJK SC"/>
        <family val="2"/>
      </rPr>
      <t xml:space="preserve">詰め</t>
    </r>
    <r>
      <rPr>
        <sz val="9"/>
        <rFont val="Meiryo UI"/>
        <family val="0"/>
        <charset val="1"/>
      </rPr>
      <t xml:space="preserve">209</t>
    </r>
    <r>
      <rPr>
        <sz val="9"/>
        <rFont val="Noto Sans CJK SC"/>
        <family val="2"/>
      </rPr>
      <t xml:space="preserve">＋装填・入替</t>
    </r>
    <r>
      <rPr>
        <sz val="9"/>
        <rFont val="Meiryo UI"/>
        <family val="0"/>
        <charset val="1"/>
      </rPr>
      <t xml:space="preserve">15</t>
    </r>
    <r>
      <rPr>
        <sz val="9"/>
        <rFont val="Noto Sans CJK SC"/>
        <family val="2"/>
      </rPr>
      <t xml:space="preserve">＋型替え</t>
    </r>
    <r>
      <rPr>
        <sz val="9"/>
        <rFont val="Meiryo UI"/>
        <family val="0"/>
        <charset val="1"/>
      </rPr>
      <t xml:space="preserve">7</t>
    </r>
  </si>
  <si>
    <t xml:space="preserve">削減時間（時間換算）</t>
  </si>
  <si>
    <r>
      <rPr>
        <sz val="9"/>
        <rFont val="Noto Sans CJK SC"/>
        <family val="2"/>
      </rPr>
      <t xml:space="preserve">時間</t>
    </r>
    <r>
      <rPr>
        <sz val="9"/>
        <rFont val="Meiryo UI"/>
        <family val="0"/>
        <charset val="1"/>
      </rPr>
      <t xml:space="preserve">/</t>
    </r>
    <r>
      <rPr>
        <sz val="9"/>
        <rFont val="Noto Sans CJK SC"/>
        <family val="2"/>
      </rPr>
      <t xml:space="preserve">日</t>
    </r>
  </si>
  <si>
    <t xml:space="preserve">1,030÷60</t>
  </si>
  <si>
    <t xml:space="preserve">発生時間（時間換算）</t>
  </si>
  <si>
    <t xml:space="preserve">231÷60</t>
  </si>
  <si>
    <t xml:space="preserve">省力化指数</t>
  </si>
  <si>
    <r>
      <rPr>
        <sz val="9"/>
        <rFont val="Noto Sans CJK SC"/>
        <family val="2"/>
      </rPr>
      <t xml:space="preserve">（</t>
    </r>
    <r>
      <rPr>
        <sz val="9"/>
        <rFont val="Meiryo UI"/>
        <family val="0"/>
        <charset val="1"/>
      </rPr>
      <t xml:space="preserve">1,030−231</t>
    </r>
    <r>
      <rPr>
        <sz val="9"/>
        <rFont val="Noto Sans CJK SC"/>
        <family val="2"/>
      </rPr>
      <t xml:space="preserve">）</t>
    </r>
    <r>
      <rPr>
        <sz val="9"/>
        <rFont val="Meiryo UI"/>
        <family val="0"/>
        <charset val="1"/>
      </rPr>
      <t xml:space="preserve">÷1,030</t>
    </r>
  </si>
  <si>
    <t xml:space="preserve">投入担当の拘束時間（早番＋中番＋遅番）</t>
  </si>
  <si>
    <r>
      <rPr>
        <sz val="9"/>
        <rFont val="Meiryo UI"/>
        <family val="0"/>
        <charset val="1"/>
      </rPr>
      <t xml:space="preserve">8:30</t>
    </r>
    <r>
      <rPr>
        <sz val="9"/>
        <rFont val="Noto Sans CJK SC"/>
        <family val="2"/>
      </rPr>
      <t xml:space="preserve">〜</t>
    </r>
    <r>
      <rPr>
        <sz val="9"/>
        <rFont val="Meiryo UI"/>
        <family val="0"/>
        <charset val="1"/>
      </rPr>
      <t xml:space="preserve">11:00</t>
    </r>
    <r>
      <rPr>
        <sz val="9"/>
        <rFont val="Noto Sans CJK SC"/>
        <family val="2"/>
      </rPr>
      <t xml:space="preserve">＋</t>
    </r>
    <r>
      <rPr>
        <sz val="9"/>
        <rFont val="Meiryo UI"/>
        <family val="0"/>
        <charset val="1"/>
      </rPr>
      <t xml:space="preserve">11:00</t>
    </r>
    <r>
      <rPr>
        <sz val="9"/>
        <rFont val="Noto Sans CJK SC"/>
        <family val="2"/>
      </rPr>
      <t xml:space="preserve">〜</t>
    </r>
    <r>
      <rPr>
        <sz val="9"/>
        <rFont val="Meiryo UI"/>
        <family val="0"/>
        <charset val="1"/>
      </rPr>
      <t xml:space="preserve">19:00</t>
    </r>
    <r>
      <rPr>
        <sz val="9"/>
        <rFont val="Noto Sans CJK SC"/>
        <family val="2"/>
      </rPr>
      <t xml:space="preserve">＋</t>
    </r>
    <r>
      <rPr>
        <sz val="9"/>
        <rFont val="Meiryo UI"/>
        <family val="0"/>
        <charset val="1"/>
      </rPr>
      <t xml:space="preserve">19:00</t>
    </r>
    <r>
      <rPr>
        <sz val="9"/>
        <rFont val="Noto Sans CJK SC"/>
        <family val="2"/>
      </rPr>
      <t xml:space="preserve">〜</t>
    </r>
    <r>
      <rPr>
        <sz val="9"/>
        <rFont val="Meiryo UI"/>
        <family val="0"/>
        <charset val="1"/>
      </rPr>
      <t xml:space="preserve">26:00</t>
    </r>
  </si>
  <si>
    <t xml:space="preserve">現状①〜⑦の合計</t>
  </si>
  <si>
    <r>
      <rPr>
        <sz val="9"/>
        <rFont val="Noto Sans CJK SC"/>
        <family val="2"/>
      </rPr>
      <t xml:space="preserve">搬入</t>
    </r>
    <r>
      <rPr>
        <sz val="9"/>
        <rFont val="Meiryo UI"/>
        <family val="0"/>
        <charset val="1"/>
      </rPr>
      <t xml:space="preserve">20</t>
    </r>
    <r>
      <rPr>
        <sz val="9"/>
        <rFont val="Noto Sans CJK SC"/>
        <family val="2"/>
      </rPr>
      <t xml:space="preserve">＋削減</t>
    </r>
    <r>
      <rPr>
        <sz val="9"/>
        <rFont val="Meiryo UI"/>
        <family val="0"/>
        <charset val="1"/>
      </rPr>
      <t xml:space="preserve">1,030</t>
    </r>
  </si>
  <si>
    <t xml:space="preserve">導入後①〜④の合計</t>
  </si>
  <si>
    <r>
      <rPr>
        <sz val="9"/>
        <rFont val="Noto Sans CJK SC"/>
        <family val="2"/>
      </rPr>
      <t xml:space="preserve">搬入</t>
    </r>
    <r>
      <rPr>
        <sz val="9"/>
        <rFont val="Meiryo UI"/>
        <family val="0"/>
        <charset val="1"/>
      </rPr>
      <t xml:space="preserve">20</t>
    </r>
    <r>
      <rPr>
        <sz val="9"/>
        <rFont val="Noto Sans CJK SC"/>
        <family val="2"/>
      </rPr>
      <t xml:space="preserve">＋新規</t>
    </r>
    <r>
      <rPr>
        <sz val="9"/>
        <rFont val="Meiryo UI"/>
        <family val="0"/>
        <charset val="1"/>
      </rPr>
      <t xml:space="preserve">231</t>
    </r>
  </si>
  <si>
    <t xml:space="preserve">創出時間</t>
  </si>
  <si>
    <t xml:space="preserve">1,050−251</t>
  </si>
  <si>
    <t xml:space="preserve">創出時間（年間）</t>
  </si>
  <si>
    <r>
      <rPr>
        <sz val="9"/>
        <rFont val="Noto Sans CJK SC"/>
        <family val="2"/>
      </rPr>
      <t xml:space="preserve">人時</t>
    </r>
    <r>
      <rPr>
        <sz val="9"/>
        <rFont val="Meiryo UI"/>
        <family val="0"/>
        <charset val="1"/>
      </rPr>
      <t xml:space="preserve">/</t>
    </r>
    <r>
      <rPr>
        <sz val="9"/>
        <rFont val="Noto Sans CJK SC"/>
        <family val="2"/>
      </rPr>
      <t xml:space="preserve">年</t>
    </r>
  </si>
  <si>
    <r>
      <rPr>
        <sz val="9"/>
        <rFont val="Meiryo UI"/>
        <family val="0"/>
        <charset val="1"/>
      </rPr>
      <t xml:space="preserve">799÷60×245</t>
    </r>
    <r>
      <rPr>
        <sz val="9"/>
        <rFont val="Noto Sans CJK SC"/>
        <family val="2"/>
      </rPr>
      <t xml:space="preserve">日（計画書は約</t>
    </r>
    <r>
      <rPr>
        <sz val="9"/>
        <rFont val="Meiryo UI"/>
        <family val="0"/>
        <charset val="1"/>
      </rPr>
      <t xml:space="preserve">3,262</t>
    </r>
    <r>
      <rPr>
        <sz val="9"/>
        <rFont val="Noto Sans CJK SC"/>
        <family val="2"/>
      </rPr>
      <t xml:space="preserve">）</t>
    </r>
  </si>
  <si>
    <t xml:space="preserve">設備導入前の作業時間合計（別紙１）</t>
  </si>
  <si>
    <r>
      <rPr>
        <sz val="9"/>
        <rFont val="Noto Sans CJK SC"/>
        <family val="2"/>
      </rPr>
      <t xml:space="preserve">投入</t>
    </r>
    <r>
      <rPr>
        <sz val="9"/>
        <rFont val="Meiryo UI"/>
        <family val="0"/>
        <charset val="1"/>
      </rPr>
      <t xml:space="preserve">1,050</t>
    </r>
    <r>
      <rPr>
        <sz val="9"/>
        <rFont val="Noto Sans CJK SC"/>
        <family val="2"/>
      </rPr>
      <t xml:space="preserve">＋製袋機</t>
    </r>
    <r>
      <rPr>
        <sz val="9"/>
        <rFont val="Meiryo UI"/>
        <family val="0"/>
        <charset val="1"/>
      </rPr>
      <t xml:space="preserve">1,050</t>
    </r>
    <r>
      <rPr>
        <sz val="9"/>
        <rFont val="Noto Sans CJK SC"/>
        <family val="2"/>
      </rPr>
      <t xml:space="preserve">＋充填</t>
    </r>
    <r>
      <rPr>
        <sz val="9"/>
        <rFont val="Meiryo UI"/>
        <family val="0"/>
        <charset val="1"/>
      </rPr>
      <t xml:space="preserve">1,050</t>
    </r>
    <r>
      <rPr>
        <sz val="9"/>
        <rFont val="Noto Sans CJK SC"/>
        <family val="2"/>
      </rPr>
      <t xml:space="preserve">＋包装</t>
    </r>
    <r>
      <rPr>
        <sz val="9"/>
        <rFont val="Meiryo UI"/>
        <family val="0"/>
        <charset val="1"/>
      </rPr>
      <t xml:space="preserve">2,625</t>
    </r>
  </si>
  <si>
    <t xml:space="preserve">設備導入後の作業時間合計（別紙１）</t>
  </si>
  <si>
    <r>
      <rPr>
        <sz val="9"/>
        <rFont val="Noto Sans CJK SC"/>
        <family val="2"/>
      </rPr>
      <t xml:space="preserve">搬入</t>
    </r>
    <r>
      <rPr>
        <sz val="9"/>
        <rFont val="Meiryo UI"/>
        <family val="0"/>
        <charset val="1"/>
      </rPr>
      <t xml:space="preserve">20</t>
    </r>
    <r>
      <rPr>
        <sz val="9"/>
        <rFont val="Noto Sans CJK SC"/>
        <family val="2"/>
      </rPr>
      <t xml:space="preserve">＋新規</t>
    </r>
    <r>
      <rPr>
        <sz val="9"/>
        <rFont val="Meiryo UI"/>
        <family val="0"/>
        <charset val="1"/>
      </rPr>
      <t xml:space="preserve">231</t>
    </r>
    <r>
      <rPr>
        <sz val="9"/>
        <rFont val="Noto Sans CJK SC"/>
        <family val="2"/>
      </rPr>
      <t xml:space="preserve">＋変化しない作業</t>
    </r>
    <r>
      <rPr>
        <sz val="9"/>
        <rFont val="Meiryo UI"/>
        <family val="0"/>
        <charset val="1"/>
      </rPr>
      <t xml:space="preserve">4,725</t>
    </r>
  </si>
  <si>
    <t xml:space="preserve">投入サイクル回数</t>
  </si>
  <si>
    <r>
      <rPr>
        <sz val="9"/>
        <rFont val="Noto Sans CJK SC"/>
        <family val="2"/>
      </rPr>
      <t xml:space="preserve">回</t>
    </r>
    <r>
      <rPr>
        <sz val="9"/>
        <rFont val="Meiryo UI"/>
        <family val="0"/>
        <charset val="1"/>
      </rPr>
      <t xml:space="preserve">/</t>
    </r>
    <r>
      <rPr>
        <sz val="9"/>
        <rFont val="Noto Sans CJK SC"/>
        <family val="2"/>
      </rPr>
      <t xml:space="preserve">日</t>
    </r>
  </si>
  <si>
    <r>
      <rPr>
        <sz val="9"/>
        <rFont val="Meiryo UI"/>
        <family val="0"/>
        <charset val="1"/>
      </rPr>
      <t xml:space="preserve">1,050</t>
    </r>
    <r>
      <rPr>
        <sz val="9"/>
        <rFont val="Noto Sans CJK SC"/>
        <family val="2"/>
      </rPr>
      <t xml:space="preserve">分</t>
    </r>
    <r>
      <rPr>
        <sz val="9"/>
        <rFont val="Meiryo UI"/>
        <family val="0"/>
        <charset val="1"/>
      </rPr>
      <t xml:space="preserve">÷8</t>
    </r>
    <r>
      <rPr>
        <sz val="9"/>
        <rFont val="Noto Sans CJK SC"/>
        <family val="2"/>
      </rPr>
      <t xml:space="preserve">分＝</t>
    </r>
    <r>
      <rPr>
        <sz val="9"/>
        <rFont val="Meiryo UI"/>
        <family val="0"/>
        <charset val="1"/>
      </rPr>
      <t xml:space="preserve">131.25</t>
    </r>
    <r>
      <rPr>
        <sz val="9"/>
        <rFont val="Noto Sans CJK SC"/>
        <family val="2"/>
      </rPr>
      <t xml:space="preserve">回</t>
    </r>
  </si>
  <si>
    <r>
      <rPr>
        <sz val="9"/>
        <rFont val="Noto Sans CJK SC"/>
        <family val="2"/>
      </rPr>
      <t xml:space="preserve">⑤踏み台の昇降（</t>
    </r>
    <r>
      <rPr>
        <sz val="9"/>
        <rFont val="Meiryo UI"/>
        <family val="0"/>
        <charset val="1"/>
      </rPr>
      <t xml:space="preserve">0.6</t>
    </r>
    <r>
      <rPr>
        <sz val="9"/>
        <rFont val="Noto Sans CJK SC"/>
        <family val="2"/>
      </rPr>
      <t xml:space="preserve">分</t>
    </r>
    <r>
      <rPr>
        <sz val="9"/>
        <rFont val="Meiryo UI"/>
        <family val="0"/>
        <charset val="1"/>
      </rPr>
      <t xml:space="preserve">×131</t>
    </r>
    <r>
      <rPr>
        <sz val="9"/>
        <rFont val="Noto Sans CJK SC"/>
        <family val="2"/>
      </rPr>
      <t xml:space="preserve">回）</t>
    </r>
  </si>
  <si>
    <r>
      <rPr>
        <sz val="9"/>
        <rFont val="Meiryo UI"/>
        <family val="0"/>
        <charset val="1"/>
      </rPr>
      <t xml:space="preserve">0.6×131</t>
    </r>
    <r>
      <rPr>
        <sz val="9"/>
        <rFont val="Noto Sans CJK SC"/>
        <family val="2"/>
      </rPr>
      <t xml:space="preserve">＝</t>
    </r>
    <r>
      <rPr>
        <sz val="9"/>
        <rFont val="Meiryo UI"/>
        <family val="0"/>
        <charset val="1"/>
      </rPr>
      <t xml:space="preserve">78.6→79</t>
    </r>
  </si>
  <si>
    <r>
      <rPr>
        <sz val="9"/>
        <rFont val="Noto Sans CJK SC"/>
        <family val="2"/>
      </rPr>
      <t xml:space="preserve">⑥手投入（</t>
    </r>
    <r>
      <rPr>
        <sz val="9"/>
        <rFont val="Meiryo UI"/>
        <family val="0"/>
        <charset val="1"/>
      </rPr>
      <t xml:space="preserve">2.4</t>
    </r>
    <r>
      <rPr>
        <sz val="9"/>
        <rFont val="Noto Sans CJK SC"/>
        <family val="2"/>
      </rPr>
      <t xml:space="preserve">分</t>
    </r>
    <r>
      <rPr>
        <sz val="9"/>
        <rFont val="Meiryo UI"/>
        <family val="0"/>
        <charset val="1"/>
      </rPr>
      <t xml:space="preserve">×131</t>
    </r>
    <r>
      <rPr>
        <sz val="9"/>
        <rFont val="Noto Sans CJK SC"/>
        <family val="2"/>
      </rPr>
      <t xml:space="preserve">回）</t>
    </r>
  </si>
  <si>
    <r>
      <rPr>
        <sz val="9"/>
        <rFont val="Meiryo UI"/>
        <family val="0"/>
        <charset val="1"/>
      </rPr>
      <t xml:space="preserve">2.4×131</t>
    </r>
    <r>
      <rPr>
        <sz val="9"/>
        <rFont val="Noto Sans CJK SC"/>
        <family val="2"/>
      </rPr>
      <t xml:space="preserve">＝</t>
    </r>
    <r>
      <rPr>
        <sz val="9"/>
        <rFont val="Meiryo UI"/>
        <family val="0"/>
        <charset val="1"/>
      </rPr>
      <t xml:space="preserve">314.4</t>
    </r>
    <r>
      <rPr>
        <sz val="9"/>
        <rFont val="Noto Sans CJK SC"/>
        <family val="2"/>
      </rPr>
      <t xml:space="preserve">（</t>
    </r>
    <r>
      <rPr>
        <sz val="9"/>
        <rFont val="Meiryo UI"/>
        <family val="0"/>
        <charset val="1"/>
      </rPr>
      <t xml:space="preserve">315</t>
    </r>
    <r>
      <rPr>
        <sz val="9"/>
        <rFont val="Noto Sans CJK SC"/>
        <family val="2"/>
      </rPr>
      <t xml:space="preserve">は</t>
    </r>
    <r>
      <rPr>
        <sz val="9"/>
        <rFont val="Meiryo UI"/>
        <family val="0"/>
        <charset val="1"/>
      </rPr>
      <t xml:space="preserve">131.25</t>
    </r>
    <r>
      <rPr>
        <sz val="9"/>
        <rFont val="Noto Sans CJK SC"/>
        <family val="2"/>
      </rPr>
      <t xml:space="preserve">回で計算した値）</t>
    </r>
  </si>
  <si>
    <t xml:space="preserve">No.34</t>
  </si>
  <si>
    <r>
      <rPr>
        <sz val="9"/>
        <rFont val="Noto Sans CJK SC"/>
        <family val="2"/>
      </rPr>
      <t xml:space="preserve">③空段ボールの片付け（</t>
    </r>
    <r>
      <rPr>
        <sz val="9"/>
        <rFont val="Meiryo UI"/>
        <family val="0"/>
        <charset val="1"/>
      </rPr>
      <t xml:space="preserve">43</t>
    </r>
    <r>
      <rPr>
        <sz val="9"/>
        <rFont val="Noto Sans CJK SC"/>
        <family val="2"/>
      </rPr>
      <t xml:space="preserve">箱</t>
    </r>
    <r>
      <rPr>
        <sz val="9"/>
        <rFont val="Meiryo UI"/>
        <family val="0"/>
        <charset val="1"/>
      </rPr>
      <t xml:space="preserve">×0.5</t>
    </r>
    <r>
      <rPr>
        <sz val="9"/>
        <rFont val="Noto Sans CJK SC"/>
        <family val="2"/>
      </rPr>
      <t xml:space="preserve">分）</t>
    </r>
  </si>
  <si>
    <t xml:space="preserve">21.5→22</t>
  </si>
  <si>
    <t xml:space="preserve">④ほぐし（投入間隔の残余）</t>
  </si>
  <si>
    <r>
      <rPr>
        <sz val="9"/>
        <rFont val="Meiryo UI"/>
        <family val="0"/>
        <charset val="1"/>
      </rPr>
      <t xml:space="preserve">5</t>
    </r>
    <r>
      <rPr>
        <sz val="9"/>
        <rFont val="Noto Sans CJK SC"/>
        <family val="2"/>
      </rPr>
      <t xml:space="preserve">分</t>
    </r>
    <r>
      <rPr>
        <sz val="9"/>
        <rFont val="Meiryo UI"/>
        <family val="0"/>
        <charset val="1"/>
      </rPr>
      <t xml:space="preserve">×131.25</t>
    </r>
    <r>
      <rPr>
        <sz val="9"/>
        <rFont val="Noto Sans CJK SC"/>
        <family val="2"/>
      </rPr>
      <t xml:space="preserve">回−（搬入</t>
    </r>
    <r>
      <rPr>
        <sz val="9"/>
        <rFont val="Meiryo UI"/>
        <family val="0"/>
        <charset val="1"/>
      </rPr>
      <t xml:space="preserve">20</t>
    </r>
    <r>
      <rPr>
        <sz val="9"/>
        <rFont val="Noto Sans CJK SC"/>
        <family val="2"/>
      </rPr>
      <t xml:space="preserve">＋開梱</t>
    </r>
    <r>
      <rPr>
        <sz val="9"/>
        <rFont val="Meiryo UI"/>
        <family val="0"/>
        <charset val="1"/>
      </rPr>
      <t xml:space="preserve">43</t>
    </r>
    <r>
      <rPr>
        <sz val="9"/>
        <rFont val="Noto Sans CJK SC"/>
        <family val="2"/>
      </rPr>
      <t xml:space="preserve">＋片付け</t>
    </r>
    <r>
      <rPr>
        <sz val="9"/>
        <rFont val="Meiryo UI"/>
        <family val="0"/>
        <charset val="1"/>
      </rPr>
      <t xml:space="preserve">22</t>
    </r>
    <r>
      <rPr>
        <sz val="9"/>
        <rFont val="Noto Sans CJK SC"/>
        <family val="2"/>
      </rPr>
      <t xml:space="preserve">＋切替</t>
    </r>
    <r>
      <rPr>
        <sz val="9"/>
        <rFont val="Meiryo UI"/>
        <family val="0"/>
        <charset val="1"/>
      </rPr>
      <t xml:space="preserve">8</t>
    </r>
    <r>
      <rPr>
        <sz val="9"/>
        <rFont val="Noto Sans CJK SC"/>
        <family val="2"/>
      </rPr>
      <t xml:space="preserve">）</t>
    </r>
  </si>
  <si>
    <t xml:space="preserve">No.5</t>
  </si>
  <si>
    <r>
      <rPr>
        <sz val="9"/>
        <rFont val="Noto Sans CJK SC"/>
        <family val="2"/>
      </rPr>
      <t xml:space="preserve">詰め：</t>
    </r>
    <r>
      <rPr>
        <sz val="9"/>
        <rFont val="Meiryo UI"/>
        <family val="0"/>
        <charset val="1"/>
      </rPr>
      <t xml:space="preserve">1</t>
    </r>
    <r>
      <rPr>
        <sz val="9"/>
        <rFont val="Noto Sans CJK SC"/>
        <family val="2"/>
      </rPr>
      <t xml:space="preserve">品種の日</t>
    </r>
  </si>
  <si>
    <r>
      <rPr>
        <sz val="9"/>
        <rFont val="Meiryo UI"/>
        <family val="0"/>
        <charset val="1"/>
      </rPr>
      <t xml:space="preserve">15</t>
    </r>
    <r>
      <rPr>
        <sz val="9"/>
        <rFont val="Noto Sans CJK SC"/>
        <family val="2"/>
      </rPr>
      <t xml:space="preserve">万袋</t>
    </r>
    <r>
      <rPr>
        <sz val="9"/>
        <rFont val="Meiryo UI"/>
        <family val="0"/>
        <charset val="1"/>
      </rPr>
      <t xml:space="preserve">÷1,200</t>
    </r>
    <r>
      <rPr>
        <sz val="9"/>
        <rFont val="Noto Sans CJK SC"/>
        <family val="2"/>
      </rPr>
      <t xml:space="preserve">袋</t>
    </r>
    <r>
      <rPr>
        <sz val="9"/>
        <rFont val="Meiryo UI"/>
        <family val="0"/>
        <charset val="1"/>
      </rPr>
      <t xml:space="preserve">×2</t>
    </r>
    <r>
      <rPr>
        <sz val="9"/>
        <rFont val="Noto Sans CJK SC"/>
        <family val="2"/>
      </rPr>
      <t xml:space="preserve">分</t>
    </r>
  </si>
  <si>
    <r>
      <rPr>
        <sz val="9"/>
        <rFont val="Noto Sans CJK SC"/>
        <family val="2"/>
      </rPr>
      <t xml:space="preserve">詰め：</t>
    </r>
    <r>
      <rPr>
        <sz val="9"/>
        <rFont val="Meiryo UI"/>
        <family val="0"/>
        <charset val="1"/>
      </rPr>
      <t xml:space="preserve">2</t>
    </r>
    <r>
      <rPr>
        <sz val="9"/>
        <rFont val="Noto Sans CJK SC"/>
        <family val="2"/>
      </rPr>
      <t xml:space="preserve">品種の日</t>
    </r>
  </si>
  <si>
    <r>
      <rPr>
        <sz val="9"/>
        <rFont val="Meiryo UI"/>
        <family val="0"/>
        <charset val="1"/>
      </rPr>
      <t xml:space="preserve">10</t>
    </r>
    <r>
      <rPr>
        <sz val="9"/>
        <rFont val="Noto Sans CJK SC"/>
        <family val="2"/>
      </rPr>
      <t xml:space="preserve">万袋</t>
    </r>
    <r>
      <rPr>
        <sz val="9"/>
        <rFont val="Meiryo UI"/>
        <family val="0"/>
        <charset val="1"/>
      </rPr>
      <t xml:space="preserve">÷1,200</t>
    </r>
    <r>
      <rPr>
        <sz val="9"/>
        <rFont val="Noto Sans CJK SC"/>
        <family val="2"/>
      </rPr>
      <t xml:space="preserve">袋＝</t>
    </r>
    <r>
      <rPr>
        <sz val="9"/>
        <rFont val="Meiryo UI"/>
        <family val="0"/>
        <charset val="1"/>
      </rPr>
      <t xml:space="preserve">84</t>
    </r>
    <r>
      <rPr>
        <sz val="9"/>
        <rFont val="Noto Sans CJK SC"/>
        <family val="2"/>
      </rPr>
      <t xml:space="preserve">枚</t>
    </r>
    <r>
      <rPr>
        <sz val="9"/>
        <rFont val="Meiryo UI"/>
        <family val="0"/>
        <charset val="1"/>
      </rPr>
      <t xml:space="preserve">×2</t>
    </r>
    <r>
      <rPr>
        <sz val="9"/>
        <rFont val="Noto Sans CJK SC"/>
        <family val="2"/>
      </rPr>
      <t xml:space="preserve">分</t>
    </r>
  </si>
  <si>
    <t xml:space="preserve">詰め：平均</t>
  </si>
  <si>
    <r>
      <rPr>
        <sz val="9"/>
        <rFont val="Noto Sans CJK SC"/>
        <family val="2"/>
      </rPr>
      <t xml:space="preserve">（</t>
    </r>
    <r>
      <rPr>
        <sz val="9"/>
        <rFont val="Meiryo UI"/>
        <family val="0"/>
        <charset val="1"/>
      </rPr>
      <t xml:space="preserve">250</t>
    </r>
    <r>
      <rPr>
        <sz val="9"/>
        <rFont val="Noto Sans CJK SC"/>
        <family val="2"/>
      </rPr>
      <t xml:space="preserve">＋</t>
    </r>
    <r>
      <rPr>
        <sz val="9"/>
        <rFont val="Meiryo UI"/>
        <family val="0"/>
        <charset val="1"/>
      </rPr>
      <t xml:space="preserve">168</t>
    </r>
    <r>
      <rPr>
        <sz val="9"/>
        <rFont val="Noto Sans CJK SC"/>
        <family val="2"/>
      </rPr>
      <t xml:space="preserve">）</t>
    </r>
    <r>
      <rPr>
        <sz val="9"/>
        <rFont val="Meiryo UI"/>
        <family val="0"/>
        <charset val="1"/>
      </rPr>
      <t xml:space="preserve">÷2</t>
    </r>
  </si>
  <si>
    <r>
      <rPr>
        <sz val="9"/>
        <rFont val="Noto Sans CJK SC"/>
        <family val="2"/>
      </rPr>
      <t xml:space="preserve">入替：</t>
    </r>
    <r>
      <rPr>
        <sz val="9"/>
        <rFont val="Meiryo UI"/>
        <family val="0"/>
        <charset val="1"/>
      </rPr>
      <t xml:space="preserve">1</t>
    </r>
    <r>
      <rPr>
        <sz val="9"/>
        <rFont val="Noto Sans CJK SC"/>
        <family val="2"/>
      </rPr>
      <t xml:space="preserve">品種の日</t>
    </r>
  </si>
  <si>
    <r>
      <rPr>
        <sz val="9"/>
        <rFont val="Meiryo UI"/>
        <family val="0"/>
        <charset val="1"/>
      </rPr>
      <t xml:space="preserve">15</t>
    </r>
    <r>
      <rPr>
        <sz val="9"/>
        <rFont val="Noto Sans CJK SC"/>
        <family val="2"/>
      </rPr>
      <t xml:space="preserve">万袋</t>
    </r>
    <r>
      <rPr>
        <sz val="9"/>
        <rFont val="Meiryo UI"/>
        <family val="0"/>
        <charset val="1"/>
      </rPr>
      <t xml:space="preserve">÷24,000</t>
    </r>
    <r>
      <rPr>
        <sz val="9"/>
        <rFont val="Noto Sans CJK SC"/>
        <family val="2"/>
      </rPr>
      <t xml:space="preserve">袋＝</t>
    </r>
    <r>
      <rPr>
        <sz val="9"/>
        <rFont val="Meiryo UI"/>
        <family val="0"/>
        <charset val="1"/>
      </rPr>
      <t xml:space="preserve">6</t>
    </r>
    <r>
      <rPr>
        <sz val="9"/>
        <rFont val="Noto Sans CJK SC"/>
        <family val="2"/>
      </rPr>
      <t xml:space="preserve">回</t>
    </r>
    <r>
      <rPr>
        <sz val="9"/>
        <rFont val="Meiryo UI"/>
        <family val="0"/>
        <charset val="1"/>
      </rPr>
      <t xml:space="preserve">×3</t>
    </r>
    <r>
      <rPr>
        <sz val="9"/>
        <rFont val="Noto Sans CJK SC"/>
        <family val="2"/>
      </rPr>
      <t xml:space="preserve">分</t>
    </r>
  </si>
  <si>
    <r>
      <rPr>
        <sz val="9"/>
        <rFont val="Noto Sans CJK SC"/>
        <family val="2"/>
      </rPr>
      <t xml:space="preserve">入替：</t>
    </r>
    <r>
      <rPr>
        <sz val="9"/>
        <rFont val="Meiryo UI"/>
        <family val="0"/>
        <charset val="1"/>
      </rPr>
      <t xml:space="preserve">2</t>
    </r>
    <r>
      <rPr>
        <sz val="9"/>
        <rFont val="Noto Sans CJK SC"/>
        <family val="2"/>
      </rPr>
      <t xml:space="preserve">品種の日</t>
    </r>
  </si>
  <si>
    <r>
      <rPr>
        <sz val="9"/>
        <rFont val="Meiryo UI"/>
        <family val="0"/>
        <charset val="1"/>
      </rPr>
      <t xml:space="preserve">10</t>
    </r>
    <r>
      <rPr>
        <sz val="9"/>
        <rFont val="Noto Sans CJK SC"/>
        <family val="2"/>
      </rPr>
      <t xml:space="preserve">万袋</t>
    </r>
    <r>
      <rPr>
        <sz val="9"/>
        <rFont val="Meiryo UI"/>
        <family val="0"/>
        <charset val="1"/>
      </rPr>
      <t xml:space="preserve">÷24,000</t>
    </r>
    <r>
      <rPr>
        <sz val="9"/>
        <rFont val="Noto Sans CJK SC"/>
        <family val="2"/>
      </rPr>
      <t xml:space="preserve">袋＝</t>
    </r>
    <r>
      <rPr>
        <sz val="9"/>
        <rFont val="Meiryo UI"/>
        <family val="0"/>
        <charset val="1"/>
      </rPr>
      <t xml:space="preserve">4</t>
    </r>
    <r>
      <rPr>
        <sz val="9"/>
        <rFont val="Noto Sans CJK SC"/>
        <family val="2"/>
      </rPr>
      <t xml:space="preserve">回</t>
    </r>
    <r>
      <rPr>
        <sz val="9"/>
        <rFont val="Meiryo UI"/>
        <family val="0"/>
        <charset val="1"/>
      </rPr>
      <t xml:space="preserve">×3</t>
    </r>
    <r>
      <rPr>
        <sz val="9"/>
        <rFont val="Noto Sans CJK SC"/>
        <family val="2"/>
      </rPr>
      <t xml:space="preserve">分</t>
    </r>
  </si>
  <si>
    <t xml:space="preserve">入替：平均</t>
  </si>
  <si>
    <r>
      <rPr>
        <sz val="9"/>
        <rFont val="Noto Sans CJK SC"/>
        <family val="2"/>
      </rPr>
      <t xml:space="preserve">（</t>
    </r>
    <r>
      <rPr>
        <sz val="9"/>
        <rFont val="Meiryo UI"/>
        <family val="0"/>
        <charset val="1"/>
      </rPr>
      <t xml:space="preserve">18</t>
    </r>
    <r>
      <rPr>
        <sz val="9"/>
        <rFont val="Noto Sans CJK SC"/>
        <family val="2"/>
      </rPr>
      <t xml:space="preserve">＋</t>
    </r>
    <r>
      <rPr>
        <sz val="9"/>
        <rFont val="Meiryo UI"/>
        <family val="0"/>
        <charset val="1"/>
      </rPr>
      <t xml:space="preserve">12</t>
    </r>
    <r>
      <rPr>
        <sz val="9"/>
        <rFont val="Noto Sans CJK SC"/>
        <family val="2"/>
      </rPr>
      <t xml:space="preserve">）</t>
    </r>
    <r>
      <rPr>
        <sz val="9"/>
        <rFont val="Meiryo UI"/>
        <family val="0"/>
        <charset val="1"/>
      </rPr>
      <t xml:space="preserve">÷2</t>
    </r>
  </si>
  <si>
    <t xml:space="preserve">型替え：月平均</t>
  </si>
  <si>
    <r>
      <rPr>
        <sz val="9"/>
        <rFont val="Meiryo UI"/>
        <family val="0"/>
        <charset val="1"/>
      </rPr>
      <t xml:space="preserve">25</t>
    </r>
    <r>
      <rPr>
        <sz val="9"/>
        <rFont val="Noto Sans CJK SC"/>
        <family val="2"/>
      </rPr>
      <t xml:space="preserve">枚</t>
    </r>
    <r>
      <rPr>
        <sz val="9"/>
        <rFont val="Meiryo UI"/>
        <family val="0"/>
        <charset val="1"/>
      </rPr>
      <t xml:space="preserve">×1.1</t>
    </r>
    <r>
      <rPr>
        <sz val="9"/>
        <rFont val="Noto Sans CJK SC"/>
        <family val="2"/>
      </rPr>
      <t xml:space="preserve">分≒</t>
    </r>
    <r>
      <rPr>
        <sz val="9"/>
        <rFont val="Meiryo UI"/>
        <family val="0"/>
        <charset val="1"/>
      </rPr>
      <t xml:space="preserve">28</t>
    </r>
    <r>
      <rPr>
        <sz val="9"/>
        <rFont val="Noto Sans CJK SC"/>
        <family val="2"/>
      </rPr>
      <t xml:space="preserve">分</t>
    </r>
    <r>
      <rPr>
        <sz val="9"/>
        <rFont val="Meiryo UI"/>
        <family val="0"/>
        <charset val="1"/>
      </rPr>
      <t xml:space="preserve">×</t>
    </r>
    <r>
      <rPr>
        <sz val="9"/>
        <rFont val="Noto Sans CJK SC"/>
        <family val="2"/>
      </rPr>
      <t xml:space="preserve">（</t>
    </r>
    <r>
      <rPr>
        <sz val="9"/>
        <rFont val="Meiryo UI"/>
        <family val="0"/>
        <charset val="1"/>
      </rPr>
      <t xml:space="preserve">2</t>
    </r>
    <r>
      <rPr>
        <sz val="9"/>
        <rFont val="Noto Sans CJK SC"/>
        <family val="2"/>
      </rPr>
      <t xml:space="preserve">品種の日の半数＝全稼働日の</t>
    </r>
    <r>
      <rPr>
        <sz val="9"/>
        <rFont val="Meiryo UI"/>
        <family val="0"/>
        <charset val="1"/>
      </rPr>
      <t xml:space="preserve">1/4</t>
    </r>
    <r>
      <rPr>
        <sz val="9"/>
        <rFont val="Noto Sans CJK SC"/>
        <family val="2"/>
      </rPr>
      <t xml:space="preserve">）</t>
    </r>
  </si>
  <si>
    <t xml:space="preserve">No.13</t>
  </si>
  <si>
    <r>
      <rPr>
        <sz val="9"/>
        <rFont val="Noto Sans CJK SC"/>
        <family val="2"/>
      </rPr>
      <t xml:space="preserve">ストック</t>
    </r>
    <r>
      <rPr>
        <sz val="9"/>
        <rFont val="Meiryo UI"/>
        <family val="0"/>
        <charset val="1"/>
      </rPr>
      <t xml:space="preserve">24,000</t>
    </r>
    <r>
      <rPr>
        <sz val="9"/>
        <rFont val="Noto Sans CJK SC"/>
        <family val="2"/>
      </rPr>
      <t xml:space="preserve">袋の持続時間（記載「約</t>
    </r>
    <r>
      <rPr>
        <sz val="9"/>
        <rFont val="Meiryo UI"/>
        <family val="0"/>
        <charset val="1"/>
      </rPr>
      <t xml:space="preserve">2</t>
    </r>
    <r>
      <rPr>
        <sz val="9"/>
        <rFont val="Noto Sans CJK SC"/>
        <family val="2"/>
      </rPr>
      <t xml:space="preserve">時間分」＝</t>
    </r>
    <r>
      <rPr>
        <sz val="9"/>
        <rFont val="Meiryo UI"/>
        <family val="0"/>
        <charset val="1"/>
      </rPr>
      <t xml:space="preserve">120</t>
    </r>
    <r>
      <rPr>
        <sz val="9"/>
        <rFont val="Noto Sans CJK SC"/>
        <family val="2"/>
      </rPr>
      <t xml:space="preserve">分）</t>
    </r>
  </si>
  <si>
    <t xml:space="preserve">分</t>
  </si>
  <si>
    <r>
      <rPr>
        <sz val="9"/>
        <rFont val="Noto Sans CJK SC"/>
        <family val="2"/>
      </rPr>
      <t xml:space="preserve">最大能力</t>
    </r>
    <r>
      <rPr>
        <sz val="9"/>
        <rFont val="Meiryo UI"/>
        <family val="0"/>
        <charset val="1"/>
      </rPr>
      <t xml:space="preserve">150</t>
    </r>
    <r>
      <rPr>
        <sz val="9"/>
        <rFont val="Noto Sans CJK SC"/>
        <family val="2"/>
      </rPr>
      <t xml:space="preserve">袋</t>
    </r>
    <r>
      <rPr>
        <sz val="9"/>
        <rFont val="Meiryo UI"/>
        <family val="0"/>
        <charset val="1"/>
      </rPr>
      <t xml:space="preserve">/</t>
    </r>
    <r>
      <rPr>
        <sz val="9"/>
        <rFont val="Noto Sans CJK SC"/>
        <family val="2"/>
      </rPr>
      <t xml:space="preserve">分で</t>
    </r>
    <r>
      <rPr>
        <sz val="9"/>
        <rFont val="Meiryo UI"/>
        <family val="0"/>
        <charset val="1"/>
      </rPr>
      <t xml:space="preserve">160</t>
    </r>
    <r>
      <rPr>
        <sz val="9"/>
        <rFont val="Noto Sans CJK SC"/>
        <family val="2"/>
      </rPr>
      <t xml:space="preserve">分（約</t>
    </r>
    <r>
      <rPr>
        <sz val="9"/>
        <rFont val="Meiryo UI"/>
        <family val="0"/>
        <charset val="1"/>
      </rPr>
      <t xml:space="preserve">2</t>
    </r>
    <r>
      <rPr>
        <sz val="9"/>
        <rFont val="Noto Sans CJK SC"/>
        <family val="2"/>
      </rPr>
      <t xml:space="preserve">時間</t>
    </r>
    <r>
      <rPr>
        <sz val="9"/>
        <rFont val="Meiryo UI"/>
        <family val="0"/>
        <charset val="1"/>
      </rPr>
      <t xml:space="preserve">40</t>
    </r>
    <r>
      <rPr>
        <sz val="9"/>
        <rFont val="Noto Sans CJK SC"/>
        <family val="2"/>
      </rPr>
      <t xml:space="preserve">分）</t>
    </r>
  </si>
  <si>
    <t xml:space="preserve">No.12</t>
  </si>
  <si>
    <r>
      <rPr>
        <sz val="9"/>
        <rFont val="Meiryo UI"/>
        <family val="0"/>
        <charset val="1"/>
      </rPr>
      <t xml:space="preserve">1</t>
    </r>
    <r>
      <rPr>
        <sz val="9"/>
        <rFont val="Noto Sans CJK SC"/>
        <family val="2"/>
      </rPr>
      <t xml:space="preserve">品種の日の入替間隔（記載「約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t>
    </r>
    <r>
      <rPr>
        <sz val="9"/>
        <rFont val="Meiryo UI"/>
        <family val="0"/>
        <charset val="1"/>
      </rPr>
      <t xml:space="preserve">120</t>
    </r>
    <r>
      <rPr>
        <sz val="9"/>
        <rFont val="Noto Sans CJK SC"/>
        <family val="2"/>
      </rPr>
      <t xml:space="preserve">分）</t>
    </r>
  </si>
  <si>
    <r>
      <rPr>
        <sz val="9"/>
        <rFont val="Meiryo UI"/>
        <family val="0"/>
        <charset val="1"/>
      </rPr>
      <t xml:space="preserve">1,050</t>
    </r>
    <r>
      <rPr>
        <sz val="9"/>
        <rFont val="Noto Sans CJK SC"/>
        <family val="2"/>
      </rPr>
      <t xml:space="preserve">分</t>
    </r>
    <r>
      <rPr>
        <sz val="9"/>
        <rFont val="Meiryo UI"/>
        <family val="0"/>
        <charset val="1"/>
      </rPr>
      <t xml:space="preserve">÷6</t>
    </r>
    <r>
      <rPr>
        <sz val="9"/>
        <rFont val="Noto Sans CJK SC"/>
        <family val="2"/>
      </rPr>
      <t xml:space="preserve">回＝</t>
    </r>
    <r>
      <rPr>
        <sz val="9"/>
        <rFont val="Meiryo UI"/>
        <family val="0"/>
        <charset val="1"/>
      </rPr>
      <t xml:space="preserve">175</t>
    </r>
    <r>
      <rPr>
        <sz val="9"/>
        <rFont val="Noto Sans CJK SC"/>
        <family val="2"/>
      </rPr>
      <t xml:space="preserve">分</t>
    </r>
  </si>
  <si>
    <r>
      <rPr>
        <sz val="9"/>
        <rFont val="Noto Sans CJK SC"/>
        <family val="2"/>
      </rPr>
      <t xml:space="preserve">遅番で使うパレット（</t>
    </r>
    <r>
      <rPr>
        <sz val="9"/>
        <rFont val="Meiryo UI"/>
        <family val="0"/>
        <charset val="1"/>
      </rPr>
      <t xml:space="preserve">1</t>
    </r>
    <r>
      <rPr>
        <sz val="9"/>
        <rFont val="Noto Sans CJK SC"/>
        <family val="2"/>
      </rPr>
      <t xml:space="preserve">品種の日）</t>
    </r>
  </si>
  <si>
    <t xml:space="preserve">枚</t>
  </si>
  <si>
    <r>
      <rPr>
        <sz val="9"/>
        <rFont val="Meiryo UI"/>
        <family val="0"/>
        <charset val="1"/>
      </rPr>
      <t xml:space="preserve">15</t>
    </r>
    <r>
      <rPr>
        <sz val="9"/>
        <rFont val="Noto Sans CJK SC"/>
        <family val="2"/>
      </rPr>
      <t xml:space="preserve">万袋</t>
    </r>
    <r>
      <rPr>
        <sz val="9"/>
        <rFont val="Meiryo UI"/>
        <family val="0"/>
        <charset val="1"/>
      </rPr>
      <t xml:space="preserve">÷1,050</t>
    </r>
    <r>
      <rPr>
        <sz val="9"/>
        <rFont val="Noto Sans CJK SC"/>
        <family val="2"/>
      </rPr>
      <t xml:space="preserve">分</t>
    </r>
    <r>
      <rPr>
        <sz val="9"/>
        <rFont val="Meiryo UI"/>
        <family val="0"/>
        <charset val="1"/>
      </rPr>
      <t xml:space="preserve">×420</t>
    </r>
    <r>
      <rPr>
        <sz val="9"/>
        <rFont val="Noto Sans CJK SC"/>
        <family val="2"/>
      </rPr>
      <t xml:space="preserve">分</t>
    </r>
    <r>
      <rPr>
        <sz val="9"/>
        <rFont val="Meiryo UI"/>
        <family val="0"/>
        <charset val="1"/>
      </rPr>
      <t xml:space="preserve">÷1,200</t>
    </r>
    <r>
      <rPr>
        <sz val="9"/>
        <rFont val="Noto Sans CJK SC"/>
        <family val="2"/>
      </rPr>
      <t xml:space="preserve">袋</t>
    </r>
  </si>
  <si>
    <t xml:space="preserve">投資・回収</t>
  </si>
  <si>
    <t xml:space="preserve">補助対象経費の小計</t>
  </si>
  <si>
    <t xml:space="preserve">円</t>
  </si>
  <si>
    <r>
      <rPr>
        <sz val="9"/>
        <rFont val="Meiryo UI"/>
        <family val="0"/>
        <charset val="1"/>
      </rPr>
      <t xml:space="preserve">No.1</t>
    </r>
    <r>
      <rPr>
        <sz val="9"/>
        <rFont val="Noto Sans CJK SC"/>
        <family val="2"/>
      </rPr>
      <t xml:space="preserve">〜</t>
    </r>
    <r>
      <rPr>
        <sz val="9"/>
        <rFont val="Meiryo UI"/>
        <family val="0"/>
        <charset val="1"/>
      </rPr>
      <t xml:space="preserve">6</t>
    </r>
    <r>
      <rPr>
        <sz val="9"/>
        <rFont val="Noto Sans CJK SC"/>
        <family val="2"/>
      </rPr>
      <t xml:space="preserve">の合計</t>
    </r>
  </si>
  <si>
    <t xml:space="preserve">補助対象経費（値引後）</t>
  </si>
  <si>
    <r>
      <rPr>
        <sz val="9"/>
        <rFont val="Noto Sans CJK SC"/>
        <family val="2"/>
      </rPr>
      <t xml:space="preserve">小計−値引</t>
    </r>
    <r>
      <rPr>
        <sz val="9"/>
        <rFont val="Meiryo UI"/>
        <family val="0"/>
        <charset val="1"/>
      </rPr>
      <t xml:space="preserve">4,790,000</t>
    </r>
  </si>
  <si>
    <r>
      <rPr>
        <sz val="9"/>
        <rFont val="Noto Sans CJK SC"/>
        <family val="2"/>
      </rPr>
      <t xml:space="preserve">補助金額（補助率</t>
    </r>
    <r>
      <rPr>
        <sz val="9"/>
        <rFont val="Meiryo UI"/>
        <family val="0"/>
        <charset val="1"/>
      </rPr>
      <t xml:space="preserve">1/2</t>
    </r>
    <r>
      <rPr>
        <sz val="9"/>
        <rFont val="Noto Sans CJK SC"/>
        <family val="2"/>
      </rPr>
      <t xml:space="preserve">）</t>
    </r>
  </si>
  <si>
    <r>
      <rPr>
        <sz val="9"/>
        <rFont val="Noto Sans CJK SC"/>
        <family val="2"/>
      </rPr>
      <t xml:space="preserve">上限</t>
    </r>
    <r>
      <rPr>
        <sz val="9"/>
        <rFont val="Meiryo UI"/>
        <family val="0"/>
        <charset val="1"/>
      </rPr>
      <t xml:space="preserve">8,000</t>
    </r>
    <r>
      <rPr>
        <sz val="9"/>
        <rFont val="Noto Sans CJK SC"/>
        <family val="2"/>
      </rPr>
      <t xml:space="preserve">万円（</t>
    </r>
    <r>
      <rPr>
        <sz val="9"/>
        <rFont val="Meiryo UI"/>
        <family val="0"/>
        <charset val="1"/>
      </rPr>
      <t xml:space="preserve">101</t>
    </r>
    <r>
      <rPr>
        <sz val="9"/>
        <rFont val="Noto Sans CJK SC"/>
        <family val="2"/>
      </rPr>
      <t xml:space="preserve">人以上）以内</t>
    </r>
  </si>
  <si>
    <t xml:space="preserve">No.2</t>
  </si>
  <si>
    <t xml:space="preserve">投資総額（税込）</t>
  </si>
  <si>
    <r>
      <rPr>
        <sz val="9"/>
        <rFont val="Meiryo UI"/>
        <family val="0"/>
        <charset val="1"/>
      </rPr>
      <t xml:space="preserve">92,000,000×1.1</t>
    </r>
    <r>
      <rPr>
        <sz val="9"/>
        <rFont val="Noto Sans CJK SC"/>
        <family val="2"/>
      </rPr>
      <t xml:space="preserve">（ユーティリティ工事等は未計上）</t>
    </r>
  </si>
  <si>
    <t xml:space="preserve">No.15</t>
  </si>
  <si>
    <t xml:space="preserve">自己資金（投資総額−補助金）</t>
  </si>
  <si>
    <r>
      <rPr>
        <sz val="9"/>
        <rFont val="Meiryo UI"/>
        <family val="0"/>
        <charset val="1"/>
      </rPr>
      <t xml:space="preserve">4</t>
    </r>
    <r>
      <rPr>
        <sz val="9"/>
        <rFont val="Noto Sans CJK SC"/>
        <family val="2"/>
      </rPr>
      <t xml:space="preserve">章①の自己資金</t>
    </r>
  </si>
  <si>
    <t xml:space="preserve">人件費単価</t>
  </si>
  <si>
    <r>
      <rPr>
        <sz val="9"/>
        <rFont val="Noto Sans CJK SC"/>
        <family val="2"/>
      </rPr>
      <t xml:space="preserve">円</t>
    </r>
    <r>
      <rPr>
        <sz val="9"/>
        <rFont val="Meiryo UI"/>
        <family val="0"/>
        <charset val="1"/>
      </rPr>
      <t xml:space="preserve">/</t>
    </r>
    <r>
      <rPr>
        <sz val="9"/>
        <rFont val="Noto Sans CJK SC"/>
        <family val="2"/>
      </rPr>
      <t xml:space="preserve">時</t>
    </r>
  </si>
  <si>
    <r>
      <rPr>
        <sz val="9"/>
        <rFont val="Noto Sans CJK SC"/>
        <family val="2"/>
      </rPr>
      <t xml:space="preserve">総人件費</t>
    </r>
    <r>
      <rPr>
        <sz val="9"/>
        <rFont val="Meiryo UI"/>
        <family val="0"/>
        <charset val="1"/>
      </rPr>
      <t xml:space="preserve">÷</t>
    </r>
    <r>
      <rPr>
        <sz val="9"/>
        <rFont val="Noto Sans CJK SC"/>
        <family val="2"/>
      </rPr>
      <t xml:space="preserve">（</t>
    </r>
    <r>
      <rPr>
        <sz val="9"/>
        <rFont val="Meiryo UI"/>
        <family val="0"/>
        <charset val="1"/>
      </rPr>
      <t xml:space="preserve">188</t>
    </r>
    <r>
      <rPr>
        <sz val="9"/>
        <rFont val="Noto Sans CJK SC"/>
        <family val="2"/>
      </rPr>
      <t xml:space="preserve">名</t>
    </r>
    <r>
      <rPr>
        <sz val="9"/>
        <rFont val="Meiryo UI"/>
        <family val="0"/>
        <charset val="1"/>
      </rPr>
      <t xml:space="preserve">×245</t>
    </r>
    <r>
      <rPr>
        <sz val="9"/>
        <rFont val="Noto Sans CJK SC"/>
        <family val="2"/>
      </rPr>
      <t xml:space="preserve">日</t>
    </r>
    <r>
      <rPr>
        <sz val="9"/>
        <rFont val="Meiryo UI"/>
        <family val="0"/>
        <charset val="1"/>
      </rPr>
      <t xml:space="preserve">×8</t>
    </r>
    <r>
      <rPr>
        <sz val="9"/>
        <rFont val="Noto Sans CJK SC"/>
        <family val="2"/>
      </rPr>
      <t xml:space="preserve">時間）</t>
    </r>
  </si>
  <si>
    <t xml:space="preserve">労働時間削減額</t>
  </si>
  <si>
    <r>
      <rPr>
        <sz val="9"/>
        <rFont val="Noto Sans CJK SC"/>
        <family val="2"/>
      </rPr>
      <t xml:space="preserve">円</t>
    </r>
    <r>
      <rPr>
        <sz val="9"/>
        <rFont val="Meiryo UI"/>
        <family val="0"/>
        <charset val="1"/>
      </rPr>
      <t xml:space="preserve">/</t>
    </r>
    <r>
      <rPr>
        <sz val="9"/>
        <rFont val="Noto Sans CJK SC"/>
        <family val="2"/>
      </rPr>
      <t xml:space="preserve">年</t>
    </r>
  </si>
  <si>
    <t xml:space="preserve">799÷60×245×2,773</t>
  </si>
  <si>
    <r>
      <rPr>
        <sz val="9"/>
        <rFont val="Noto Sans CJK SC"/>
        <family val="2"/>
      </rPr>
      <t xml:space="preserve">増加した付加価値額（</t>
    </r>
    <r>
      <rPr>
        <sz val="9"/>
        <rFont val="Meiryo UI"/>
        <family val="0"/>
        <charset val="1"/>
      </rPr>
      <t xml:space="preserve">3</t>
    </r>
    <r>
      <rPr>
        <sz val="9"/>
        <rFont val="Noto Sans CJK SC"/>
        <family val="2"/>
      </rPr>
      <t xml:space="preserve">年間の総額）</t>
    </r>
  </si>
  <si>
    <r>
      <rPr>
        <sz val="9"/>
        <rFont val="Meiryo UI"/>
        <family val="0"/>
        <charset val="1"/>
      </rPr>
      <t xml:space="preserve">3</t>
    </r>
    <r>
      <rPr>
        <sz val="9"/>
        <rFont val="Noto Sans CJK SC"/>
        <family val="2"/>
      </rPr>
      <t xml:space="preserve">年目−基準年度</t>
    </r>
  </si>
  <si>
    <r>
      <rPr>
        <sz val="9"/>
        <rFont val="Noto Sans CJK SC"/>
        <family val="2"/>
      </rPr>
      <t xml:space="preserve">投資回収期間（計画の主値：</t>
    </r>
    <r>
      <rPr>
        <sz val="9"/>
        <rFont val="Meiryo UI"/>
        <family val="0"/>
        <charset val="1"/>
      </rPr>
      <t xml:space="preserve">3</t>
    </r>
    <r>
      <rPr>
        <sz val="9"/>
        <rFont val="Noto Sans CJK SC"/>
        <family val="2"/>
      </rPr>
      <t xml:space="preserve">年間の総額で計算）</t>
    </r>
  </si>
  <si>
    <t xml:space="preserve">年</t>
  </si>
  <si>
    <r>
      <rPr>
        <sz val="9"/>
        <rFont val="Meiryo UI"/>
        <family val="0"/>
        <charset val="1"/>
      </rPr>
      <t xml:space="preserve">101,200,000÷</t>
    </r>
    <r>
      <rPr>
        <sz val="9"/>
        <rFont val="Noto Sans CJK SC"/>
        <family val="2"/>
      </rPr>
      <t xml:space="preserve">（</t>
    </r>
    <r>
      <rPr>
        <sz val="9"/>
        <rFont val="Meiryo UI"/>
        <family val="0"/>
        <charset val="1"/>
      </rPr>
      <t xml:space="preserve">9,047,144</t>
    </r>
    <r>
      <rPr>
        <sz val="9"/>
        <rFont val="Noto Sans CJK SC"/>
        <family val="2"/>
      </rPr>
      <t xml:space="preserve">＋</t>
    </r>
    <r>
      <rPr>
        <sz val="9"/>
        <rFont val="Meiryo UI"/>
        <family val="0"/>
        <charset val="1"/>
      </rPr>
      <t xml:space="preserve">297,960,717</t>
    </r>
    <r>
      <rPr>
        <sz val="9"/>
        <rFont val="Noto Sans CJK SC"/>
        <family val="2"/>
      </rPr>
      <t xml:space="preserve">）</t>
    </r>
  </si>
  <si>
    <t xml:space="preserve">No.1</t>
  </si>
  <si>
    <r>
      <rPr>
        <sz val="9"/>
        <rFont val="Noto Sans CJK SC"/>
        <family val="2"/>
      </rPr>
      <t xml:space="preserve">投資回収期間（手引き方式：</t>
    </r>
    <r>
      <rPr>
        <sz val="9"/>
        <rFont val="Meiryo UI"/>
        <family val="0"/>
        <charset val="1"/>
      </rPr>
      <t xml:space="preserve">1</t>
    </r>
    <r>
      <rPr>
        <sz val="9"/>
        <rFont val="Noto Sans CJK SC"/>
        <family val="2"/>
      </rPr>
      <t xml:space="preserve">年あたりで計算）</t>
    </r>
  </si>
  <si>
    <r>
      <rPr>
        <sz val="9"/>
        <rFont val="Meiryo UI"/>
        <family val="0"/>
        <charset val="1"/>
      </rPr>
      <t xml:space="preserve">101,200,000÷</t>
    </r>
    <r>
      <rPr>
        <sz val="9"/>
        <rFont val="Noto Sans CJK SC"/>
        <family val="2"/>
      </rPr>
      <t xml:space="preserve">（</t>
    </r>
    <r>
      <rPr>
        <sz val="9"/>
        <rFont val="Meiryo UI"/>
        <family val="0"/>
        <charset val="1"/>
      </rPr>
      <t xml:space="preserve">9,047,144</t>
    </r>
    <r>
      <rPr>
        <sz val="9"/>
        <rFont val="Noto Sans CJK SC"/>
        <family val="2"/>
      </rPr>
      <t xml:space="preserve">＋</t>
    </r>
    <r>
      <rPr>
        <sz val="9"/>
        <rFont val="Meiryo UI"/>
        <family val="0"/>
        <charset val="1"/>
      </rPr>
      <t xml:space="preserve">297,960,717÷3</t>
    </r>
    <r>
      <rPr>
        <sz val="9"/>
        <rFont val="Noto Sans CJK SC"/>
        <family val="2"/>
      </rPr>
      <t xml:space="preserve">）※手引き</t>
    </r>
    <r>
      <rPr>
        <sz val="9"/>
        <rFont val="Meiryo UI"/>
        <family val="0"/>
        <charset val="1"/>
      </rPr>
      <t xml:space="preserve">p.60</t>
    </r>
    <r>
      <rPr>
        <sz val="9"/>
        <rFont val="Noto Sans CJK SC"/>
        <family val="2"/>
      </rPr>
      <t xml:space="preserve">記入例の方法</t>
    </r>
  </si>
  <si>
    <r>
      <rPr>
        <sz val="9"/>
        <rFont val="Noto Sans CJK SC"/>
        <family val="2"/>
      </rPr>
      <t xml:space="preserve">付加価値率（</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</si>
  <si>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Noto Sans CJK SC"/>
        <family val="2"/>
      </rPr>
      <t xml:space="preserve">付加価値額</t>
    </r>
    <r>
      <rPr>
        <sz val="9"/>
        <rFont val="Meiryo UI"/>
        <family val="0"/>
        <charset val="1"/>
      </rPr>
      <t xml:space="preserve">÷</t>
    </r>
    <r>
      <rPr>
        <sz val="9"/>
        <rFont val="Noto Sans CJK SC"/>
        <family val="2"/>
      </rPr>
      <t xml:space="preserve">売上高</t>
    </r>
  </si>
  <si>
    <r>
      <rPr>
        <sz val="9"/>
        <rFont val="Meiryo UI"/>
        <family val="0"/>
        <charset val="1"/>
      </rPr>
      <t xml:space="preserve">G</t>
    </r>
    <r>
      <rPr>
        <sz val="9"/>
        <rFont val="Noto Sans CJK SC"/>
        <family val="2"/>
      </rPr>
      <t xml:space="preserve">ライン単独：</t>
    </r>
    <r>
      <rPr>
        <sz val="9"/>
        <rFont val="Meiryo UI"/>
        <family val="0"/>
        <charset val="1"/>
      </rPr>
      <t xml:space="preserve">4</t>
    </r>
    <r>
      <rPr>
        <sz val="9"/>
        <rFont val="Noto Sans CJK SC"/>
        <family val="2"/>
      </rPr>
      <t xml:space="preserve">億円案件の付加価値額</t>
    </r>
  </si>
  <si>
    <r>
      <rPr>
        <sz val="9"/>
        <rFont val="Meiryo UI"/>
        <family val="0"/>
        <charset val="1"/>
      </rPr>
      <t xml:space="preserve">4</t>
    </r>
    <r>
      <rPr>
        <sz val="9"/>
        <rFont val="Noto Sans CJK SC"/>
        <family val="2"/>
      </rPr>
      <t xml:space="preserve">億円</t>
    </r>
    <r>
      <rPr>
        <sz val="9"/>
        <rFont val="Meiryo UI"/>
        <family val="0"/>
        <charset val="1"/>
      </rPr>
      <t xml:space="preserve">×13.66%</t>
    </r>
  </si>
  <si>
    <t xml:space="preserve">No.4</t>
  </si>
  <si>
    <r>
      <rPr>
        <sz val="9"/>
        <rFont val="Meiryo UI"/>
        <family val="0"/>
        <charset val="1"/>
      </rPr>
      <t xml:space="preserve">G</t>
    </r>
    <r>
      <rPr>
        <sz val="9"/>
        <rFont val="Noto Sans CJK SC"/>
        <family val="2"/>
      </rPr>
      <t xml:space="preserve">ライン単独：投資回収期間</t>
    </r>
  </si>
  <si>
    <r>
      <rPr>
        <sz val="9"/>
        <rFont val="Meiryo UI"/>
        <family val="0"/>
        <charset val="1"/>
      </rPr>
      <t xml:space="preserve">101,200,000÷</t>
    </r>
    <r>
      <rPr>
        <sz val="9"/>
        <rFont val="Noto Sans CJK SC"/>
        <family val="2"/>
      </rPr>
      <t xml:space="preserve">（</t>
    </r>
    <r>
      <rPr>
        <sz val="9"/>
        <rFont val="Meiryo UI"/>
        <family val="0"/>
        <charset val="1"/>
      </rPr>
      <t xml:space="preserve">9,047,144</t>
    </r>
    <r>
      <rPr>
        <sz val="9"/>
        <rFont val="Noto Sans CJK SC"/>
        <family val="2"/>
      </rPr>
      <t xml:space="preserve">＋</t>
    </r>
    <r>
      <rPr>
        <sz val="9"/>
        <rFont val="Meiryo UI"/>
        <family val="0"/>
        <charset val="1"/>
      </rPr>
      <t xml:space="preserve">54,640,000</t>
    </r>
    <r>
      <rPr>
        <sz val="9"/>
        <rFont val="Noto Sans CJK SC"/>
        <family val="2"/>
      </rPr>
      <t xml:space="preserve">）</t>
    </r>
  </si>
  <si>
    <r>
      <rPr>
        <sz val="9"/>
        <rFont val="Noto Sans CJK SC"/>
        <family val="2"/>
      </rPr>
      <t xml:space="preserve">投資額（税抜）</t>
    </r>
    <r>
      <rPr>
        <sz val="9"/>
        <rFont val="Meiryo UI"/>
        <family val="0"/>
        <charset val="1"/>
      </rPr>
      <t xml:space="preserve">÷</t>
    </r>
    <r>
      <rPr>
        <sz val="9"/>
        <rFont val="Noto Sans CJK SC"/>
        <family val="2"/>
      </rPr>
      <t xml:space="preserve">営業利益（</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</si>
  <si>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Meiryo UI"/>
        <family val="0"/>
        <charset val="1"/>
      </rPr>
      <t xml:space="preserve">1-3③</t>
    </r>
    <r>
      <rPr>
        <sz val="9"/>
        <rFont val="Noto Sans CJK SC"/>
        <family val="2"/>
      </rPr>
      <t xml:space="preserve">「約</t>
    </r>
    <r>
      <rPr>
        <sz val="9"/>
        <rFont val="Meiryo UI"/>
        <family val="0"/>
        <charset val="1"/>
      </rPr>
      <t xml:space="preserve">45%</t>
    </r>
    <r>
      <rPr>
        <sz val="9"/>
        <rFont val="Noto Sans CJK SC"/>
        <family val="2"/>
      </rPr>
      <t xml:space="preserve">」</t>
    </r>
  </si>
  <si>
    <t xml:space="preserve">付加価値・生産性</t>
  </si>
  <si>
    <r>
      <rPr>
        <sz val="9"/>
        <rFont val="Noto Sans CJK SC"/>
        <family val="2"/>
      </rPr>
      <t xml:space="preserve">付加価値額：</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月期（実績）</t>
    </r>
  </si>
  <si>
    <t xml:space="preserve">営業利益＋人件費＋減価償却費</t>
  </si>
  <si>
    <t xml:space="preserve">付加価値額：基準年度</t>
  </si>
  <si>
    <t xml:space="preserve">同上</t>
  </si>
  <si>
    <r>
      <rPr>
        <sz val="9"/>
        <rFont val="Noto Sans CJK SC"/>
        <family val="2"/>
      </rPr>
      <t xml:space="preserve">付加価値額：</t>
    </r>
    <r>
      <rPr>
        <sz val="9"/>
        <rFont val="Meiryo UI"/>
        <family val="0"/>
        <charset val="1"/>
      </rPr>
      <t xml:space="preserve">1</t>
    </r>
    <r>
      <rPr>
        <sz val="9"/>
        <rFont val="Noto Sans CJK SC"/>
        <family val="2"/>
      </rPr>
      <t xml:space="preserve">年目</t>
    </r>
  </si>
  <si>
    <r>
      <rPr>
        <sz val="9"/>
        <rFont val="Noto Sans CJK SC"/>
        <family val="2"/>
      </rPr>
      <t xml:space="preserve">付加価値額：</t>
    </r>
    <r>
      <rPr>
        <sz val="9"/>
        <rFont val="Meiryo UI"/>
        <family val="0"/>
        <charset val="1"/>
      </rPr>
      <t xml:space="preserve">2</t>
    </r>
    <r>
      <rPr>
        <sz val="9"/>
        <rFont val="Noto Sans CJK SC"/>
        <family val="2"/>
      </rPr>
      <t xml:space="preserve">年目</t>
    </r>
  </si>
  <si>
    <r>
      <rPr>
        <sz val="9"/>
        <rFont val="Noto Sans CJK SC"/>
        <family val="2"/>
      </rPr>
      <t xml:space="preserve">付加価値額：</t>
    </r>
    <r>
      <rPr>
        <sz val="9"/>
        <rFont val="Meiryo UI"/>
        <family val="0"/>
        <charset val="1"/>
      </rPr>
      <t xml:space="preserve">3</t>
    </r>
    <r>
      <rPr>
        <sz val="9"/>
        <rFont val="Noto Sans CJK SC"/>
        <family val="2"/>
      </rPr>
      <t xml:space="preserve">年目</t>
    </r>
  </si>
  <si>
    <r>
      <rPr>
        <sz val="9"/>
        <rFont val="Noto Sans CJK SC"/>
        <family val="2"/>
      </rPr>
      <t xml:space="preserve">労働生産性：</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</si>
  <si>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Meiryo UI"/>
        <family val="0"/>
        <charset val="1"/>
      </rPr>
      <t xml:space="preserve">÷188</t>
    </r>
    <r>
      <rPr>
        <sz val="9"/>
        <rFont val="Noto Sans CJK SC"/>
        <family val="2"/>
      </rPr>
      <t xml:space="preserve">名（役員</t>
    </r>
    <r>
      <rPr>
        <sz val="9"/>
        <rFont val="Meiryo UI"/>
        <family val="0"/>
        <charset val="1"/>
      </rPr>
      <t xml:space="preserve">7</t>
    </r>
    <r>
      <rPr>
        <sz val="9"/>
        <rFont val="Noto Sans CJK SC"/>
        <family val="2"/>
      </rPr>
      <t xml:space="preserve">＋従業員</t>
    </r>
    <r>
      <rPr>
        <sz val="9"/>
        <rFont val="Meiryo UI"/>
        <family val="0"/>
        <charset val="1"/>
      </rPr>
      <t xml:space="preserve">181</t>
    </r>
    <r>
      <rPr>
        <sz val="9"/>
        <rFont val="Noto Sans CJK SC"/>
        <family val="2"/>
      </rPr>
      <t xml:space="preserve">）</t>
    </r>
  </si>
  <si>
    <t xml:space="preserve">労働生産性：基準年度</t>
  </si>
  <si>
    <r>
      <rPr>
        <sz val="9"/>
        <rFont val="Noto Sans CJK SC"/>
        <family val="2"/>
      </rPr>
      <t xml:space="preserve">労働生産性：</t>
    </r>
    <r>
      <rPr>
        <sz val="9"/>
        <rFont val="Meiryo UI"/>
        <family val="0"/>
        <charset val="1"/>
      </rPr>
      <t xml:space="preserve">1</t>
    </r>
    <r>
      <rPr>
        <sz val="9"/>
        <rFont val="Noto Sans CJK SC"/>
        <family val="2"/>
      </rPr>
      <t xml:space="preserve">年目</t>
    </r>
  </si>
  <si>
    <r>
      <rPr>
        <sz val="9"/>
        <rFont val="Meiryo UI"/>
        <family val="0"/>
        <charset val="1"/>
      </rPr>
      <t xml:space="preserve">÷191</t>
    </r>
    <r>
      <rPr>
        <sz val="9"/>
        <rFont val="Noto Sans CJK SC"/>
        <family val="2"/>
      </rPr>
      <t xml:space="preserve">名</t>
    </r>
  </si>
  <si>
    <r>
      <rPr>
        <sz val="9"/>
        <rFont val="Noto Sans CJK SC"/>
        <family val="2"/>
      </rPr>
      <t xml:space="preserve">労働生産性：</t>
    </r>
    <r>
      <rPr>
        <sz val="9"/>
        <rFont val="Meiryo UI"/>
        <family val="0"/>
        <charset val="1"/>
      </rPr>
      <t xml:space="preserve">3</t>
    </r>
    <r>
      <rPr>
        <sz val="9"/>
        <rFont val="Noto Sans CJK SC"/>
        <family val="2"/>
      </rPr>
      <t xml:space="preserve">年目</t>
    </r>
  </si>
  <si>
    <r>
      <rPr>
        <sz val="9"/>
        <rFont val="Meiryo UI"/>
        <family val="0"/>
        <charset val="1"/>
      </rPr>
      <t xml:space="preserve">÷198</t>
    </r>
    <r>
      <rPr>
        <sz val="9"/>
        <rFont val="Noto Sans CJK SC"/>
        <family val="2"/>
      </rPr>
      <t xml:space="preserve">名</t>
    </r>
  </si>
  <si>
    <r>
      <rPr>
        <sz val="9"/>
        <rFont val="Noto Sans CJK SC"/>
        <family val="2"/>
      </rPr>
      <t xml:space="preserve">労働生産性の年平均成長率：</t>
    </r>
    <r>
      <rPr>
        <sz val="9"/>
        <rFont val="Meiryo UI"/>
        <family val="0"/>
        <charset val="1"/>
      </rPr>
      <t xml:space="preserve">1</t>
    </r>
    <r>
      <rPr>
        <sz val="9"/>
        <rFont val="Noto Sans CJK SC"/>
        <family val="2"/>
      </rPr>
      <t xml:space="preserve">年目</t>
    </r>
  </si>
  <si>
    <t xml:space="preserve">%</t>
  </si>
  <si>
    <r>
      <rPr>
        <sz val="9"/>
        <rFont val="Noto Sans CJK SC"/>
        <family val="2"/>
      </rPr>
      <t xml:space="preserve">様式は小数第</t>
    </r>
    <r>
      <rPr>
        <sz val="9"/>
        <rFont val="Meiryo UI"/>
        <family val="0"/>
        <charset val="1"/>
      </rPr>
      <t xml:space="preserve">2</t>
    </r>
    <r>
      <rPr>
        <sz val="9"/>
        <rFont val="Noto Sans CJK SC"/>
        <family val="2"/>
      </rPr>
      <t xml:space="preserve">位未満を切捨て表示</t>
    </r>
  </si>
  <si>
    <r>
      <rPr>
        <sz val="9"/>
        <rFont val="Noto Sans CJK SC"/>
        <family val="2"/>
      </rPr>
      <t xml:space="preserve">労働生産性の年平均成長率：</t>
    </r>
    <r>
      <rPr>
        <sz val="9"/>
        <rFont val="Meiryo UI"/>
        <family val="0"/>
        <charset val="1"/>
      </rPr>
      <t xml:space="preserve">3</t>
    </r>
    <r>
      <rPr>
        <sz val="9"/>
        <rFont val="Noto Sans CJK SC"/>
        <family val="2"/>
      </rPr>
      <t xml:space="preserve">年目</t>
    </r>
  </si>
  <si>
    <r>
      <rPr>
        <sz val="9"/>
        <rFont val="Noto Sans CJK SC"/>
        <family val="2"/>
      </rPr>
      <t xml:space="preserve">要件</t>
    </r>
    <r>
      <rPr>
        <sz val="9"/>
        <rFont val="Meiryo UI"/>
        <family val="0"/>
        <charset val="1"/>
      </rPr>
      <t xml:space="preserve">4.0%</t>
    </r>
    <r>
      <rPr>
        <sz val="9"/>
        <rFont val="Noto Sans CJK SC"/>
        <family val="2"/>
      </rPr>
      <t xml:space="preserve">以上（毎年）</t>
    </r>
  </si>
  <si>
    <r>
      <rPr>
        <sz val="9"/>
        <rFont val="Noto Sans CJK SC"/>
        <family val="2"/>
      </rPr>
      <t xml:space="preserve">付加価値額の年平均成長率：</t>
    </r>
    <r>
      <rPr>
        <sz val="9"/>
        <rFont val="Meiryo UI"/>
        <family val="0"/>
        <charset val="1"/>
      </rPr>
      <t xml:space="preserve">3</t>
    </r>
    <r>
      <rPr>
        <sz val="9"/>
        <rFont val="Noto Sans CJK SC"/>
        <family val="2"/>
      </rPr>
      <t xml:space="preserve">年目</t>
    </r>
  </si>
  <si>
    <r>
      <rPr>
        <sz val="9"/>
        <rFont val="Meiryo UI"/>
        <family val="0"/>
        <charset val="1"/>
      </rPr>
      <t xml:space="preserve">1</t>
    </r>
    <r>
      <rPr>
        <sz val="9"/>
        <rFont val="Noto Sans CJK SC"/>
        <family val="2"/>
      </rPr>
      <t xml:space="preserve">年目の売上増加額（記載「＋</t>
    </r>
    <r>
      <rPr>
        <sz val="9"/>
        <rFont val="Meiryo UI"/>
        <family val="0"/>
        <charset val="1"/>
      </rPr>
      <t xml:space="preserve">460</t>
    </r>
    <r>
      <rPr>
        <sz val="9"/>
        <rFont val="Noto Sans CJK SC"/>
        <family val="2"/>
      </rPr>
      <t xml:space="preserve">百万円」）</t>
    </r>
  </si>
  <si>
    <r>
      <rPr>
        <sz val="9"/>
        <rFont val="Noto Sans CJK SC"/>
        <family val="2"/>
      </rPr>
      <t xml:space="preserve">前年比＋</t>
    </r>
    <r>
      <rPr>
        <sz val="9"/>
        <rFont val="Meiryo UI"/>
        <family val="0"/>
        <charset val="1"/>
      </rPr>
      <t xml:space="preserve">4.0%</t>
    </r>
  </si>
  <si>
    <r>
      <rPr>
        <sz val="9"/>
        <rFont val="Meiryo UI"/>
        <family val="0"/>
        <charset val="1"/>
      </rPr>
      <t xml:space="preserve">1</t>
    </r>
    <r>
      <rPr>
        <sz val="9"/>
        <rFont val="Noto Sans CJK SC"/>
        <family val="2"/>
      </rPr>
      <t xml:space="preserve">年目売上と過去最高（</t>
    </r>
    <r>
      <rPr>
        <sz val="9"/>
        <rFont val="Meiryo UI"/>
        <family val="0"/>
        <charset val="1"/>
      </rPr>
      <t xml:space="preserve">2025</t>
    </r>
    <r>
      <rPr>
        <sz val="9"/>
        <rFont val="Noto Sans CJK SC"/>
        <family val="2"/>
      </rPr>
      <t xml:space="preserve">年</t>
    </r>
    <r>
      <rPr>
        <sz val="9"/>
        <rFont val="Meiryo UI"/>
        <family val="0"/>
        <charset val="1"/>
      </rPr>
      <t xml:space="preserve">3</t>
    </r>
    <r>
      <rPr>
        <sz val="9"/>
        <rFont val="Noto Sans CJK SC"/>
        <family val="2"/>
      </rPr>
      <t xml:space="preserve">月期）の差（記載「約</t>
    </r>
    <r>
      <rPr>
        <sz val="9"/>
        <rFont val="Meiryo UI"/>
        <family val="0"/>
        <charset val="1"/>
      </rPr>
      <t xml:space="preserve">3.3</t>
    </r>
    <r>
      <rPr>
        <sz val="9"/>
        <rFont val="Noto Sans CJK SC"/>
        <family val="2"/>
      </rPr>
      <t xml:space="preserve">億円」）</t>
    </r>
  </si>
  <si>
    <t xml:space="preserve">原価率：基準年度</t>
  </si>
  <si>
    <r>
      <rPr>
        <sz val="9"/>
        <rFont val="Noto Sans CJK SC"/>
        <family val="2"/>
      </rPr>
      <t xml:space="preserve">原価率：</t>
    </r>
    <r>
      <rPr>
        <sz val="9"/>
        <rFont val="Meiryo UI"/>
        <family val="0"/>
        <charset val="1"/>
      </rPr>
      <t xml:space="preserve">3</t>
    </r>
    <r>
      <rPr>
        <sz val="9"/>
        <rFont val="Noto Sans CJK SC"/>
        <family val="2"/>
      </rPr>
      <t xml:space="preserve">年目</t>
    </r>
  </si>
  <si>
    <t xml:space="preserve">No.18</t>
  </si>
  <si>
    <r>
      <rPr>
        <sz val="9"/>
        <rFont val="Noto Sans CJK SC"/>
        <family val="2"/>
      </rPr>
      <t xml:space="preserve">営業利益の増加（基準年度→</t>
    </r>
    <r>
      <rPr>
        <sz val="9"/>
        <rFont val="Meiryo UI"/>
        <family val="0"/>
        <charset val="1"/>
      </rPr>
      <t xml:space="preserve">3</t>
    </r>
    <r>
      <rPr>
        <sz val="9"/>
        <rFont val="Noto Sans CJK SC"/>
        <family val="2"/>
      </rPr>
      <t xml:space="preserve">年目）</t>
    </r>
  </si>
  <si>
    <r>
      <rPr>
        <sz val="9"/>
        <rFont val="Noto Sans CJK SC"/>
        <family val="2"/>
      </rPr>
      <t xml:space="preserve">営業利益率：</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</si>
  <si>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Noto Sans CJK SC"/>
        <family val="2"/>
      </rPr>
      <t xml:space="preserve">売上総利益率：</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</si>
  <si>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Noto Sans CJK SC"/>
        <family val="2"/>
      </rPr>
      <t xml:space="preserve">売上総利益率：</t>
    </r>
    <r>
      <rPr>
        <sz val="9"/>
        <rFont val="Meiryo UI"/>
        <family val="0"/>
        <charset val="1"/>
      </rPr>
      <t xml:space="preserve">2025</t>
    </r>
    <r>
      <rPr>
        <sz val="9"/>
        <rFont val="Noto Sans CJK SC"/>
        <family val="2"/>
      </rPr>
      <t xml:space="preserve">年</t>
    </r>
    <r>
      <rPr>
        <sz val="9"/>
        <rFont val="Meiryo UI"/>
        <family val="0"/>
        <charset val="1"/>
      </rPr>
      <t xml:space="preserve">3</t>
    </r>
    <r>
      <rPr>
        <sz val="9"/>
        <rFont val="Noto Sans CJK SC"/>
        <family val="2"/>
      </rPr>
      <t xml:space="preserve">月期</t>
    </r>
  </si>
  <si>
    <t xml:space="preserve">売上構成比：受託製造</t>
  </si>
  <si>
    <r>
      <rPr>
        <sz val="9"/>
        <rFont val="Meiryo UI"/>
        <family val="0"/>
        <charset val="1"/>
      </rPr>
      <t xml:space="preserve">9,320÷11,168</t>
    </r>
    <r>
      <rPr>
        <sz val="9"/>
        <rFont val="Noto Sans CJK SC"/>
        <family val="2"/>
      </rPr>
      <t xml:space="preserve">＝</t>
    </r>
    <r>
      <rPr>
        <sz val="9"/>
        <rFont val="Meiryo UI"/>
        <family val="0"/>
        <charset val="1"/>
      </rPr>
      <t xml:space="preserve">83.45%</t>
    </r>
    <r>
      <rPr>
        <sz val="9"/>
        <rFont val="Noto Sans CJK SC"/>
        <family val="2"/>
      </rPr>
      <t xml:space="preserve">（円単位の元データ次第で</t>
    </r>
    <r>
      <rPr>
        <sz val="9"/>
        <rFont val="Meiryo UI"/>
        <family val="0"/>
        <charset val="1"/>
      </rPr>
      <t xml:space="preserve">83.4%</t>
    </r>
    <r>
      <rPr>
        <sz val="9"/>
        <rFont val="Noto Sans CJK SC"/>
        <family val="2"/>
      </rPr>
      <t xml:space="preserve">も可のため許容差</t>
    </r>
    <r>
      <rPr>
        <sz val="9"/>
        <rFont val="Meiryo UI"/>
        <family val="0"/>
        <charset val="1"/>
      </rPr>
      <t xml:space="preserve">0.1pt</t>
    </r>
    <r>
      <rPr>
        <sz val="9"/>
        <rFont val="Noto Sans CJK SC"/>
        <family val="2"/>
      </rPr>
      <t xml:space="preserve">）</t>
    </r>
  </si>
  <si>
    <t xml:space="preserve">No.29</t>
  </si>
  <si>
    <t xml:space="preserve">売上構成比：バランス部門</t>
  </si>
  <si>
    <r>
      <rPr>
        <sz val="9"/>
        <rFont val="Meiryo UI"/>
        <family val="0"/>
        <charset val="1"/>
      </rPr>
      <t xml:space="preserve">1,463÷11,168.9</t>
    </r>
    <r>
      <rPr>
        <sz val="9"/>
        <rFont val="Noto Sans CJK SC"/>
        <family val="2"/>
      </rPr>
      <t xml:space="preserve">＝</t>
    </r>
    <r>
      <rPr>
        <sz val="9"/>
        <rFont val="Meiryo UI"/>
        <family val="0"/>
        <charset val="1"/>
      </rPr>
      <t xml:space="preserve">13.10%</t>
    </r>
  </si>
  <si>
    <t xml:space="preserve">売上構成比：自社商品</t>
  </si>
  <si>
    <t xml:space="preserve">385÷11,168</t>
  </si>
  <si>
    <r>
      <rPr>
        <sz val="9"/>
        <rFont val="Meiryo UI"/>
        <family val="0"/>
        <charset val="1"/>
      </rPr>
      <t xml:space="preserve">G</t>
    </r>
    <r>
      <rPr>
        <sz val="9"/>
        <rFont val="Noto Sans CJK SC"/>
        <family val="2"/>
      </rPr>
      <t xml:space="preserve">ライン売上の全社比（記載「約</t>
    </r>
    <r>
      <rPr>
        <sz val="9"/>
        <rFont val="Meiryo UI"/>
        <family val="0"/>
        <charset val="1"/>
      </rPr>
      <t xml:space="preserve">13%</t>
    </r>
    <r>
      <rPr>
        <sz val="9"/>
        <rFont val="Noto Sans CJK SC"/>
        <family val="2"/>
      </rPr>
      <t xml:space="preserve">」）</t>
    </r>
  </si>
  <si>
    <r>
      <rPr>
        <sz val="9"/>
        <rFont val="Noto Sans CJK SC"/>
        <family val="2"/>
      </rPr>
      <t xml:space="preserve">約</t>
    </r>
    <r>
      <rPr>
        <sz val="9"/>
        <rFont val="Meiryo UI"/>
        <family val="0"/>
        <charset val="1"/>
      </rPr>
      <t xml:space="preserve">14</t>
    </r>
    <r>
      <rPr>
        <sz val="9"/>
        <rFont val="Noto Sans CJK SC"/>
        <family val="2"/>
      </rPr>
      <t xml:space="preserve">億円</t>
    </r>
    <r>
      <rPr>
        <sz val="9"/>
        <rFont val="Meiryo UI"/>
        <family val="0"/>
        <charset val="1"/>
      </rPr>
      <t xml:space="preserve">÷111.7</t>
    </r>
    <r>
      <rPr>
        <sz val="9"/>
        <rFont val="Noto Sans CJK SC"/>
        <family val="2"/>
      </rPr>
      <t xml:space="preserve">億円＝</t>
    </r>
    <r>
      <rPr>
        <sz val="9"/>
        <rFont val="Meiryo UI"/>
        <family val="0"/>
        <charset val="1"/>
      </rPr>
      <t xml:space="preserve">12.5%</t>
    </r>
  </si>
  <si>
    <t xml:space="preserve">賃上げ</t>
  </si>
  <si>
    <r>
      <rPr>
        <sz val="9"/>
        <rFont val="Meiryo UI"/>
        <family val="0"/>
        <charset val="1"/>
      </rPr>
      <t xml:space="preserve">1</t>
    </r>
    <r>
      <rPr>
        <sz val="9"/>
        <rFont val="Noto Sans CJK SC"/>
        <family val="2"/>
      </rPr>
      <t xml:space="preserve">人当たり給与支給総額：</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</si>
  <si>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Meiryo UI"/>
        <family val="0"/>
        <charset val="1"/>
      </rPr>
      <t xml:space="preserve">717,003,483÷166</t>
    </r>
    <r>
      <rPr>
        <sz val="9"/>
        <rFont val="Noto Sans CJK SC"/>
        <family val="2"/>
      </rPr>
      <t xml:space="preserve">名</t>
    </r>
  </si>
  <si>
    <r>
      <rPr>
        <sz val="9"/>
        <rFont val="Meiryo UI"/>
        <family val="0"/>
        <charset val="1"/>
      </rPr>
      <t xml:space="preserve">1</t>
    </r>
    <r>
      <rPr>
        <sz val="9"/>
        <rFont val="Noto Sans CJK SC"/>
        <family val="2"/>
      </rPr>
      <t xml:space="preserve">人当たり給与支給総額：進行期</t>
    </r>
  </si>
  <si>
    <r>
      <rPr>
        <sz val="9"/>
        <rFont val="Meiryo UI"/>
        <family val="0"/>
        <charset val="1"/>
      </rPr>
      <t xml:space="preserve">787,608,582÷177</t>
    </r>
    <r>
      <rPr>
        <sz val="9"/>
        <rFont val="Noto Sans CJK SC"/>
        <family val="2"/>
      </rPr>
      <t xml:space="preserve">名</t>
    </r>
  </si>
  <si>
    <r>
      <rPr>
        <sz val="9"/>
        <rFont val="Meiryo UI"/>
        <family val="0"/>
        <charset val="1"/>
      </rPr>
      <t xml:space="preserve">1</t>
    </r>
    <r>
      <rPr>
        <sz val="9"/>
        <rFont val="Noto Sans CJK SC"/>
        <family val="2"/>
      </rPr>
      <t xml:space="preserve">人当たり給与支給総額：基準年度</t>
    </r>
  </si>
  <si>
    <r>
      <rPr>
        <sz val="9"/>
        <rFont val="Meiryo UI"/>
        <family val="0"/>
        <charset val="1"/>
      </rPr>
      <t xml:space="preserve">829,735,675÷181</t>
    </r>
    <r>
      <rPr>
        <sz val="9"/>
        <rFont val="Noto Sans CJK SC"/>
        <family val="2"/>
      </rPr>
      <t xml:space="preserve">名</t>
    </r>
  </si>
  <si>
    <r>
      <rPr>
        <sz val="9"/>
        <rFont val="Meiryo UI"/>
        <family val="0"/>
        <charset val="1"/>
      </rPr>
      <t xml:space="preserve">1</t>
    </r>
    <r>
      <rPr>
        <sz val="9"/>
        <rFont val="Noto Sans CJK SC"/>
        <family val="2"/>
      </rPr>
      <t xml:space="preserve">人当たり給与支給総額：</t>
    </r>
    <r>
      <rPr>
        <sz val="9"/>
        <rFont val="Meiryo UI"/>
        <family val="0"/>
        <charset val="1"/>
      </rPr>
      <t xml:space="preserve">3</t>
    </r>
    <r>
      <rPr>
        <sz val="9"/>
        <rFont val="Noto Sans CJK SC"/>
        <family val="2"/>
      </rPr>
      <t xml:space="preserve">年目</t>
    </r>
  </si>
  <si>
    <r>
      <rPr>
        <sz val="9"/>
        <rFont val="Meiryo UI"/>
        <family val="0"/>
        <charset val="1"/>
      </rPr>
      <t xml:space="preserve">971,350,746÷191</t>
    </r>
    <r>
      <rPr>
        <sz val="9"/>
        <rFont val="Noto Sans CJK SC"/>
        <family val="2"/>
      </rPr>
      <t xml:space="preserve">名</t>
    </r>
  </si>
  <si>
    <t xml:space="preserve">足下の年平均成長率</t>
  </si>
  <si>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月期→基準年度（</t>
    </r>
    <r>
      <rPr>
        <sz val="9"/>
        <rFont val="Meiryo UI"/>
        <family val="0"/>
        <charset val="1"/>
      </rPr>
      <t xml:space="preserve">2</t>
    </r>
    <r>
      <rPr>
        <sz val="9"/>
        <rFont val="Noto Sans CJK SC"/>
        <family val="2"/>
      </rPr>
      <t xml:space="preserve">年）</t>
    </r>
  </si>
  <si>
    <t xml:space="preserve">No.7</t>
  </si>
  <si>
    <t xml:space="preserve">計画期間の年平均成長率</t>
  </si>
  <si>
    <r>
      <rPr>
        <sz val="9"/>
        <rFont val="Noto Sans CJK SC"/>
        <family val="2"/>
      </rPr>
      <t xml:space="preserve">基準年度→</t>
    </r>
    <r>
      <rPr>
        <sz val="9"/>
        <rFont val="Meiryo UI"/>
        <family val="0"/>
        <charset val="1"/>
      </rPr>
      <t xml:space="preserve">3</t>
    </r>
    <r>
      <rPr>
        <sz val="9"/>
        <rFont val="Noto Sans CJK SC"/>
        <family val="2"/>
      </rPr>
      <t xml:space="preserve">年目（要件</t>
    </r>
    <r>
      <rPr>
        <sz val="9"/>
        <rFont val="Meiryo UI"/>
        <family val="0"/>
        <charset val="1"/>
      </rPr>
      <t xml:space="preserve">3.5%</t>
    </r>
    <r>
      <rPr>
        <sz val="9"/>
        <rFont val="Noto Sans CJK SC"/>
        <family val="2"/>
      </rPr>
      <t xml:space="preserve">以上）</t>
    </r>
  </si>
  <si>
    <r>
      <rPr>
        <sz val="9"/>
        <rFont val="Noto Sans CJK SC"/>
        <family val="2"/>
      </rPr>
      <t xml:space="preserve">給与支給総額の増加（基準年度→</t>
    </r>
    <r>
      <rPr>
        <sz val="9"/>
        <rFont val="Meiryo UI"/>
        <family val="0"/>
        <charset val="1"/>
      </rPr>
      <t xml:space="preserve">3</t>
    </r>
    <r>
      <rPr>
        <sz val="9"/>
        <rFont val="Noto Sans CJK SC"/>
        <family val="2"/>
      </rPr>
      <t xml:space="preserve">年目）</t>
    </r>
  </si>
  <si>
    <r>
      <rPr>
        <sz val="9"/>
        <rFont val="Noto Sans CJK SC"/>
        <family val="2"/>
      </rPr>
      <t xml:space="preserve">労働分配率：</t>
    </r>
    <r>
      <rPr>
        <sz val="9"/>
        <rFont val="Meiryo UI"/>
        <family val="0"/>
        <charset val="1"/>
      </rPr>
      <t xml:space="preserve">2026</t>
    </r>
    <r>
      <rPr>
        <sz val="9"/>
        <rFont val="Noto Sans CJK SC"/>
        <family val="2"/>
      </rPr>
      <t xml:space="preserve">年</t>
    </r>
    <r>
      <rPr>
        <sz val="9"/>
        <rFont val="Meiryo UI"/>
        <family val="0"/>
        <charset val="1"/>
      </rPr>
      <t xml:space="preserve">3</t>
    </r>
    <r>
      <rPr>
        <sz val="9"/>
        <rFont val="Noto Sans CJK SC"/>
        <family val="2"/>
      </rPr>
      <t xml:space="preserve">月期</t>
    </r>
  </si>
  <si>
    <r>
      <rPr>
        <sz val="9"/>
        <rFont val="Noto Sans CJK SC"/>
        <family val="2"/>
      </rPr>
      <t xml:space="preserve">人件費</t>
    </r>
    <r>
      <rPr>
        <sz val="9"/>
        <rFont val="Meiryo UI"/>
        <family val="0"/>
        <charset val="1"/>
      </rPr>
      <t xml:space="preserve">÷</t>
    </r>
    <r>
      <rPr>
        <sz val="9"/>
        <rFont val="Noto Sans CJK SC"/>
        <family val="2"/>
      </rPr>
      <t xml:space="preserve">付加価値額</t>
    </r>
  </si>
  <si>
    <t xml:space="preserve">No.42</t>
  </si>
  <si>
    <t xml:space="preserve">労働分配率：基準年度</t>
  </si>
  <si>
    <r>
      <rPr>
        <sz val="9"/>
        <rFont val="Noto Sans CJK SC"/>
        <family val="2"/>
      </rPr>
      <t xml:space="preserve">労働分配率：</t>
    </r>
    <r>
      <rPr>
        <sz val="9"/>
        <rFont val="Meiryo UI"/>
        <family val="0"/>
        <charset val="1"/>
      </rPr>
      <t xml:space="preserve">3</t>
    </r>
    <r>
      <rPr>
        <sz val="9"/>
        <rFont val="Noto Sans CJK SC"/>
        <family val="2"/>
      </rPr>
      <t xml:space="preserve">年目</t>
    </r>
  </si>
  <si>
    <r>
      <rPr>
        <sz val="9"/>
        <rFont val="Meiryo UI"/>
        <family val="0"/>
        <charset val="1"/>
      </rPr>
      <t xml:space="preserve">2026</t>
    </r>
    <r>
      <rPr>
        <sz val="9"/>
        <rFont val="Noto Sans CJK SC"/>
        <family val="2"/>
      </rPr>
      <t xml:space="preserve">年</t>
    </r>
    <r>
      <rPr>
        <sz val="9"/>
        <rFont val="Meiryo UI"/>
        <family val="0"/>
        <charset val="1"/>
      </rPr>
      <t xml:space="preserve">4</t>
    </r>
    <r>
      <rPr>
        <sz val="9"/>
        <rFont val="Noto Sans CJK SC"/>
        <family val="2"/>
      </rPr>
      <t xml:space="preserve">月の賃上げ（総額約</t>
    </r>
    <r>
      <rPr>
        <sz val="9"/>
        <rFont val="Meiryo UI"/>
        <family val="0"/>
        <charset val="1"/>
      </rPr>
      <t xml:space="preserve">5%</t>
    </r>
    <r>
      <rPr>
        <sz val="9"/>
        <rFont val="Noto Sans CJK SC"/>
        <family val="2"/>
      </rPr>
      <t xml:space="preserve">）と進行期の人件費の伸び率</t>
    </r>
  </si>
  <si>
    <r>
      <rPr>
        <sz val="9"/>
        <rFont val="Noto Sans CJK SC"/>
        <family val="2"/>
      </rPr>
      <t xml:space="preserve">計画の進行期人件費は</t>
    </r>
    <r>
      <rPr>
        <sz val="9"/>
        <rFont val="Meiryo UI"/>
        <family val="0"/>
        <charset val="1"/>
      </rPr>
      <t xml:space="preserve">+0.68%</t>
    </r>
    <r>
      <rPr>
        <sz val="9"/>
        <rFont val="Noto Sans CJK SC"/>
        <family val="2"/>
      </rPr>
      <t xml:space="preserve">（記載値は実施済み賃上げの率）</t>
    </r>
  </si>
  <si>
    <t xml:space="preserve">進行期の給与支給総額の伸び率（参考）</t>
  </si>
  <si>
    <r>
      <rPr>
        <sz val="9"/>
        <rFont val="Noto Sans CJK SC"/>
        <family val="2"/>
      </rPr>
      <t xml:space="preserve">全月分支給者</t>
    </r>
    <r>
      <rPr>
        <sz val="9"/>
        <rFont val="Meiryo UI"/>
        <family val="0"/>
        <charset val="1"/>
      </rPr>
      <t xml:space="preserve">166</t>
    </r>
    <r>
      <rPr>
        <sz val="9"/>
        <rFont val="Noto Sans CJK SC"/>
        <family val="2"/>
      </rPr>
      <t xml:space="preserve">名→</t>
    </r>
    <r>
      <rPr>
        <sz val="9"/>
        <rFont val="Meiryo UI"/>
        <family val="0"/>
        <charset val="1"/>
      </rPr>
      <t xml:space="preserve">177</t>
    </r>
    <r>
      <rPr>
        <sz val="9"/>
        <rFont val="Noto Sans CJK SC"/>
        <family val="2"/>
      </rPr>
      <t xml:space="preserve">名の変化を含む</t>
    </r>
  </si>
  <si>
    <r>
      <rPr>
        <sz val="9"/>
        <rFont val="Noto Sans CJK SC"/>
        <family val="2"/>
      </rPr>
      <t xml:space="preserve">富山県最低賃金＋</t>
    </r>
    <r>
      <rPr>
        <sz val="9"/>
        <rFont val="Meiryo UI"/>
        <family val="0"/>
        <charset val="1"/>
      </rPr>
      <t xml:space="preserve">30</t>
    </r>
    <r>
      <rPr>
        <sz val="9"/>
        <rFont val="Noto Sans CJK SC"/>
        <family val="2"/>
      </rPr>
      <t xml:space="preserve">円</t>
    </r>
  </si>
  <si>
    <r>
      <rPr>
        <sz val="9"/>
        <rFont val="Meiryo UI"/>
        <family val="0"/>
        <charset val="1"/>
      </rPr>
      <t xml:space="preserve">2026</t>
    </r>
    <r>
      <rPr>
        <sz val="9"/>
        <rFont val="Noto Sans CJK SC"/>
        <family val="2"/>
      </rPr>
      <t xml:space="preserve">年</t>
    </r>
    <r>
      <rPr>
        <sz val="9"/>
        <rFont val="Meiryo UI"/>
        <family val="0"/>
        <charset val="1"/>
      </rPr>
      <t xml:space="preserve">10</t>
    </r>
    <r>
      <rPr>
        <sz val="9"/>
        <rFont val="Noto Sans CJK SC"/>
        <family val="2"/>
      </rPr>
      <t xml:space="preserve">月</t>
    </r>
    <r>
      <rPr>
        <sz val="9"/>
        <rFont val="Meiryo UI"/>
        <family val="0"/>
        <charset val="1"/>
      </rPr>
      <t xml:space="preserve">1</t>
    </r>
    <r>
      <rPr>
        <sz val="9"/>
        <rFont val="Noto Sans CJK SC"/>
        <family val="2"/>
      </rPr>
      <t xml:space="preserve">日発効</t>
    </r>
    <r>
      <rPr>
        <sz val="9"/>
        <rFont val="Meiryo UI"/>
        <family val="0"/>
        <charset val="1"/>
      </rPr>
      <t xml:space="preserve">1,119</t>
    </r>
    <r>
      <rPr>
        <sz val="9"/>
        <rFont val="Noto Sans CJK SC"/>
        <family val="2"/>
      </rPr>
      <t xml:space="preserve">円</t>
    </r>
  </si>
  <si>
    <t xml:space="preserve">事業場内最低賃金と県最低賃金の差（現状・参考）</t>
  </si>
  <si>
    <r>
      <rPr>
        <sz val="9"/>
        <rFont val="Noto Sans CJK SC"/>
        <family val="2"/>
      </rPr>
      <t xml:space="preserve">現状は＋</t>
    </r>
    <r>
      <rPr>
        <sz val="9"/>
        <rFont val="Meiryo UI"/>
        <family val="0"/>
        <charset val="1"/>
      </rPr>
      <t xml:space="preserve">21</t>
    </r>
    <r>
      <rPr>
        <sz val="9"/>
        <rFont val="Noto Sans CJK SC"/>
        <family val="2"/>
      </rPr>
      <t xml:space="preserve">円。</t>
    </r>
    <r>
      <rPr>
        <sz val="9"/>
        <rFont val="Meiryo UI"/>
        <family val="0"/>
        <charset val="1"/>
      </rPr>
      <t xml:space="preserve">2027</t>
    </r>
    <r>
      <rPr>
        <sz val="9"/>
        <rFont val="Noto Sans CJK SC"/>
        <family val="2"/>
      </rPr>
      <t xml:space="preserve">年</t>
    </r>
    <r>
      <rPr>
        <sz val="9"/>
        <rFont val="Meiryo UI"/>
        <family val="0"/>
        <charset val="1"/>
      </rPr>
      <t xml:space="preserve">3</t>
    </r>
    <r>
      <rPr>
        <sz val="9"/>
        <rFont val="Noto Sans CJK SC"/>
        <family val="2"/>
      </rPr>
      <t xml:space="preserve">月までに</t>
    </r>
    <r>
      <rPr>
        <sz val="9"/>
        <rFont val="Meiryo UI"/>
        <family val="0"/>
        <charset val="1"/>
      </rPr>
      <t xml:space="preserve">1,150</t>
    </r>
    <r>
      <rPr>
        <sz val="9"/>
        <rFont val="Noto Sans CJK SC"/>
        <family val="2"/>
      </rPr>
      <t xml:space="preserve">円以上へ引上げ予定</t>
    </r>
  </si>
  <si>
    <r>
      <rPr>
        <sz val="9"/>
        <rFont val="Noto Sans CJK SC"/>
        <family val="2"/>
      </rPr>
      <t xml:space="preserve">富山県最低賃金の</t>
    </r>
    <r>
      <rPr>
        <sz val="9"/>
        <rFont val="Meiryo UI"/>
        <family val="0"/>
        <charset val="1"/>
      </rPr>
      <t xml:space="preserve">5</t>
    </r>
    <r>
      <rPr>
        <sz val="9"/>
        <rFont val="Noto Sans CJK SC"/>
        <family val="2"/>
      </rPr>
      <t xml:space="preserve">年上昇率</t>
    </r>
  </si>
  <si>
    <r>
      <rPr>
        <sz val="9"/>
        <rFont val="Meiryo UI"/>
        <family val="0"/>
        <charset val="1"/>
      </rPr>
      <t xml:space="preserve">877</t>
    </r>
    <r>
      <rPr>
        <sz val="9"/>
        <rFont val="Noto Sans CJK SC"/>
        <family val="2"/>
      </rPr>
      <t xml:space="preserve">円→</t>
    </r>
    <r>
      <rPr>
        <sz val="9"/>
        <rFont val="Meiryo UI"/>
        <family val="0"/>
        <charset val="1"/>
      </rPr>
      <t xml:space="preserve">1,119</t>
    </r>
    <r>
      <rPr>
        <sz val="9"/>
        <rFont val="Noto Sans CJK SC"/>
        <family val="2"/>
      </rPr>
      <t xml:space="preserve">円</t>
    </r>
  </si>
  <si>
    <t xml:space="preserve">富山県最低賃金の年平均上昇率（参考）</t>
  </si>
  <si>
    <r>
      <rPr>
        <sz val="9"/>
        <rFont val="Noto Sans CJK SC"/>
        <family val="2"/>
      </rPr>
      <t xml:space="preserve">計画の</t>
    </r>
    <r>
      <rPr>
        <sz val="9"/>
        <rFont val="Meiryo UI"/>
        <family val="0"/>
        <charset val="1"/>
      </rPr>
      <t xml:space="preserve">1</t>
    </r>
    <r>
      <rPr>
        <sz val="9"/>
        <rFont val="Noto Sans CJK SC"/>
        <family val="2"/>
      </rPr>
      <t xml:space="preserve">人当たり給与</t>
    </r>
    <r>
      <rPr>
        <sz val="9"/>
        <rFont val="Meiryo UI"/>
        <family val="0"/>
        <charset val="1"/>
      </rPr>
      <t xml:space="preserve">3.52%</t>
    </r>
    <r>
      <rPr>
        <sz val="9"/>
        <rFont val="Noto Sans CJK SC"/>
        <family val="2"/>
      </rPr>
      <t xml:space="preserve">と比較</t>
    </r>
  </si>
  <si>
    <t xml:space="preserve">No.19</t>
  </si>
  <si>
    <r>
      <rPr>
        <sz val="9"/>
        <rFont val="Meiryo UI"/>
        <family val="0"/>
        <charset val="1"/>
      </rPr>
      <t xml:space="preserve">3</t>
    </r>
    <r>
      <rPr>
        <sz val="9"/>
        <rFont val="Noto Sans CJK SC"/>
        <family val="2"/>
      </rPr>
      <t xml:space="preserve">章 配分</t>
    </r>
  </si>
  <si>
    <r>
      <rPr>
        <sz val="9"/>
        <rFont val="Meiryo UI"/>
        <family val="0"/>
        <charset val="1"/>
      </rPr>
      <t xml:space="preserve">a) </t>
    </r>
    <r>
      <rPr>
        <sz val="9"/>
        <rFont val="Noto Sans CJK SC"/>
        <family val="2"/>
      </rPr>
      <t xml:space="preserve">多能工化教育 </t>
    </r>
    <r>
      <rPr>
        <sz val="9"/>
        <rFont val="Meiryo UI"/>
        <family val="0"/>
        <charset val="1"/>
      </rPr>
      <t xml:space="preserve">25%</t>
    </r>
  </si>
  <si>
    <t xml:space="preserve">3,262×25%</t>
  </si>
  <si>
    <r>
      <rPr>
        <sz val="9"/>
        <rFont val="Meiryo UI"/>
        <family val="0"/>
        <charset val="1"/>
      </rPr>
      <t xml:space="preserve">b)</t>
    </r>
    <r>
      <rPr>
        <sz val="9"/>
        <rFont val="Noto Sans CJK SC"/>
        <family val="2"/>
      </rPr>
      <t xml:space="preserve">〜</t>
    </r>
    <r>
      <rPr>
        <sz val="9"/>
        <rFont val="Meiryo UI"/>
        <family val="0"/>
        <charset val="1"/>
      </rPr>
      <t xml:space="preserve">d) </t>
    </r>
    <r>
      <rPr>
        <sz val="9"/>
        <rFont val="Noto Sans CJK SC"/>
        <family val="2"/>
      </rPr>
      <t xml:space="preserve">各</t>
    </r>
    <r>
      <rPr>
        <sz val="9"/>
        <rFont val="Meiryo UI"/>
        <family val="0"/>
        <charset val="1"/>
      </rPr>
      <t xml:space="preserve">20%</t>
    </r>
  </si>
  <si>
    <t xml:space="preserve">3,262×20%</t>
  </si>
  <si>
    <r>
      <rPr>
        <sz val="9"/>
        <rFont val="Meiryo UI"/>
        <family val="0"/>
        <charset val="1"/>
      </rPr>
      <t xml:space="preserve">e) </t>
    </r>
    <r>
      <rPr>
        <sz val="9"/>
        <rFont val="Noto Sans CJK SC"/>
        <family val="2"/>
      </rPr>
      <t xml:space="preserve">技術継承 </t>
    </r>
    <r>
      <rPr>
        <sz val="9"/>
        <rFont val="Meiryo UI"/>
        <family val="0"/>
        <charset val="1"/>
      </rPr>
      <t xml:space="preserve">15%</t>
    </r>
  </si>
  <si>
    <t xml:space="preserve">3,262×15%</t>
  </si>
  <si>
    <t xml:space="preserve">配分の合計（四捨五入後）</t>
  </si>
  <si>
    <r>
      <rPr>
        <sz val="9"/>
        <rFont val="Noto Sans CJK SC"/>
        <family val="2"/>
      </rPr>
      <t xml:space="preserve">表の注記「各行の和は</t>
    </r>
    <r>
      <rPr>
        <sz val="9"/>
        <rFont val="Meiryo UI"/>
        <family val="0"/>
        <charset val="1"/>
      </rPr>
      <t xml:space="preserve">3,261</t>
    </r>
    <r>
      <rPr>
        <sz val="9"/>
        <rFont val="Noto Sans CJK SC"/>
        <family val="2"/>
      </rPr>
      <t xml:space="preserve">」</t>
    </r>
  </si>
  <si>
    <r>
      <rPr>
        <sz val="9"/>
        <rFont val="Meiryo UI"/>
        <family val="0"/>
        <charset val="1"/>
      </rPr>
      <t xml:space="preserve">b) </t>
    </r>
    <r>
      <rPr>
        <sz val="9"/>
        <rFont val="Noto Sans CJK SC"/>
        <family val="2"/>
      </rPr>
      <t xml:space="preserve">遅番</t>
    </r>
    <r>
      <rPr>
        <sz val="9"/>
        <rFont val="Meiryo UI"/>
        <family val="0"/>
        <charset val="1"/>
      </rPr>
      <t xml:space="preserve">8</t>
    </r>
    <r>
      <rPr>
        <sz val="9"/>
        <rFont val="Noto Sans CJK SC"/>
        <family val="2"/>
      </rPr>
      <t xml:space="preserve">日／月の時間（参考）</t>
    </r>
  </si>
  <si>
    <r>
      <rPr>
        <sz val="9"/>
        <rFont val="Noto Sans CJK SC"/>
        <family val="2"/>
      </rPr>
      <t xml:space="preserve">時間</t>
    </r>
    <r>
      <rPr>
        <sz val="9"/>
        <rFont val="Meiryo UI"/>
        <family val="0"/>
        <charset val="1"/>
      </rPr>
      <t xml:space="preserve">/</t>
    </r>
    <r>
      <rPr>
        <sz val="9"/>
        <rFont val="Noto Sans CJK SC"/>
        <family val="2"/>
      </rPr>
      <t xml:space="preserve">年</t>
    </r>
  </si>
  <si>
    <r>
      <rPr>
        <sz val="9"/>
        <rFont val="Meiryo UI"/>
        <family val="0"/>
        <charset val="1"/>
      </rPr>
      <t xml:space="preserve">8</t>
    </r>
    <r>
      <rPr>
        <sz val="9"/>
        <rFont val="Noto Sans CJK SC"/>
        <family val="2"/>
      </rPr>
      <t xml:space="preserve">日</t>
    </r>
    <r>
      <rPr>
        <sz val="9"/>
        <rFont val="Meiryo UI"/>
        <family val="0"/>
        <charset val="1"/>
      </rPr>
      <t xml:space="preserve">×7</t>
    </r>
    <r>
      <rPr>
        <sz val="9"/>
        <rFont val="Noto Sans CJK SC"/>
        <family val="2"/>
      </rPr>
      <t xml:space="preserve">時間</t>
    </r>
    <r>
      <rPr>
        <sz val="9"/>
        <rFont val="Meiryo UI"/>
        <family val="0"/>
        <charset val="1"/>
      </rPr>
      <t xml:space="preserve">×12</t>
    </r>
    <r>
      <rPr>
        <sz val="9"/>
        <rFont val="Noto Sans CJK SC"/>
        <family val="2"/>
      </rPr>
      <t xml:space="preserve">か月＝</t>
    </r>
    <r>
      <rPr>
        <sz val="9"/>
        <rFont val="Meiryo UI"/>
        <family val="0"/>
        <charset val="1"/>
      </rPr>
      <t xml:space="preserve">672</t>
    </r>
    <r>
      <rPr>
        <sz val="9"/>
        <rFont val="Noto Sans CJK SC"/>
        <family val="2"/>
      </rPr>
      <t xml:space="preserve">時間（配分</t>
    </r>
    <r>
      <rPr>
        <sz val="9"/>
        <rFont val="Meiryo UI"/>
        <family val="0"/>
        <charset val="1"/>
      </rPr>
      <t xml:space="preserve">652</t>
    </r>
    <r>
      <rPr>
        <sz val="9"/>
        <rFont val="Noto Sans CJK SC"/>
        <family val="2"/>
      </rPr>
      <t xml:space="preserve">と概ね整合）</t>
    </r>
  </si>
  <si>
    <r>
      <rPr>
        <b val="true"/>
        <sz val="10"/>
        <color rgb="FF1F4E5F"/>
        <rFont val="Noto Sans CJK SC"/>
        <family val="2"/>
      </rPr>
      <t xml:space="preserve">能力検証（年</t>
    </r>
    <r>
      <rPr>
        <b val="true"/>
        <sz val="10"/>
        <color rgb="FF1F4E5F"/>
        <rFont val="Meiryo UI"/>
        <family val="0"/>
        <charset val="1"/>
      </rPr>
      <t xml:space="preserve">800</t>
    </r>
    <r>
      <rPr>
        <b val="true"/>
        <sz val="10"/>
        <color rgb="FF1F4E5F"/>
        <rFont val="Noto Sans CJK SC"/>
        <family val="2"/>
      </rPr>
      <t xml:space="preserve">万袋の追加受注を</t>
    </r>
    <r>
      <rPr>
        <b val="true"/>
        <sz val="10"/>
        <color rgb="FF1F4E5F"/>
        <rFont val="Meiryo UI"/>
        <family val="0"/>
        <charset val="1"/>
      </rPr>
      <t xml:space="preserve">G</t>
    </r>
    <r>
      <rPr>
        <b val="true"/>
        <sz val="10"/>
        <color rgb="FF1F4E5F"/>
        <rFont val="Noto Sans CJK SC"/>
        <family val="2"/>
      </rPr>
      <t xml:space="preserve">ラインの現有能力で生産できるか）</t>
    </r>
  </si>
  <si>
    <t xml:space="preserve">値</t>
  </si>
  <si>
    <t xml:space="preserve">根拠・備考</t>
  </si>
  <si>
    <r>
      <rPr>
        <sz val="9"/>
        <rFont val="Meiryo UI"/>
        <family val="0"/>
        <charset val="1"/>
      </rPr>
      <t xml:space="preserve">1</t>
    </r>
    <r>
      <rPr>
        <sz val="9"/>
        <rFont val="Noto Sans CJK SC"/>
        <family val="2"/>
      </rPr>
      <t xml:space="preserve">品種の日の生産量</t>
    </r>
  </si>
  <si>
    <r>
      <rPr>
        <sz val="9"/>
        <rFont val="Noto Sans CJK SC"/>
        <family val="2"/>
      </rPr>
      <t xml:space="preserve">袋</t>
    </r>
    <r>
      <rPr>
        <sz val="9"/>
        <rFont val="Meiryo UI"/>
        <family val="0"/>
        <charset val="1"/>
      </rPr>
      <t xml:space="preserve">/</t>
    </r>
    <r>
      <rPr>
        <sz val="9"/>
        <rFont val="Noto Sans CJK SC"/>
        <family val="2"/>
      </rPr>
      <t xml:space="preserve">日</t>
    </r>
  </si>
  <si>
    <r>
      <rPr>
        <sz val="9"/>
        <rFont val="Noto Sans CJK SC"/>
        <family val="2"/>
      </rPr>
      <t xml:space="preserve">ヒアリングリスト</t>
    </r>
    <r>
      <rPr>
        <sz val="9"/>
        <rFont val="Meiryo UI"/>
        <family val="0"/>
        <charset val="1"/>
      </rPr>
      <t xml:space="preserve">v5</t>
    </r>
  </si>
  <si>
    <r>
      <rPr>
        <sz val="9"/>
        <rFont val="Meiryo UI"/>
        <family val="0"/>
        <charset val="1"/>
      </rPr>
      <t xml:space="preserve">2</t>
    </r>
    <r>
      <rPr>
        <sz val="9"/>
        <rFont val="Noto Sans CJK SC"/>
        <family val="2"/>
      </rPr>
      <t xml:space="preserve">品種の日の生産量</t>
    </r>
  </si>
  <si>
    <t xml:space="preserve">年間稼働日数</t>
  </si>
  <si>
    <t xml:space="preserve">日</t>
  </si>
  <si>
    <t xml:space="preserve">計画書</t>
  </si>
  <si>
    <t xml:space="preserve">現状の年間生産量（平均）</t>
  </si>
  <si>
    <r>
      <rPr>
        <sz val="9"/>
        <rFont val="Noto Sans CJK SC"/>
        <family val="2"/>
      </rPr>
      <t xml:space="preserve">袋</t>
    </r>
    <r>
      <rPr>
        <sz val="9"/>
        <rFont val="Meiryo UI"/>
        <family val="0"/>
        <charset val="1"/>
      </rPr>
      <t xml:space="preserve">/</t>
    </r>
    <r>
      <rPr>
        <sz val="9"/>
        <rFont val="Noto Sans CJK SC"/>
        <family val="2"/>
      </rPr>
      <t xml:space="preserve">年</t>
    </r>
  </si>
  <si>
    <r>
      <rPr>
        <sz val="9"/>
        <rFont val="Meiryo UI"/>
        <family val="0"/>
        <charset val="1"/>
      </rPr>
      <t xml:space="preserve">1</t>
    </r>
    <r>
      <rPr>
        <sz val="9"/>
        <rFont val="Noto Sans CJK SC"/>
        <family val="2"/>
      </rPr>
      <t xml:space="preserve">品種・</t>
    </r>
    <r>
      <rPr>
        <sz val="9"/>
        <rFont val="Meiryo UI"/>
        <family val="0"/>
        <charset val="1"/>
      </rPr>
      <t xml:space="preserve">2</t>
    </r>
    <r>
      <rPr>
        <sz val="9"/>
        <rFont val="Noto Sans CJK SC"/>
        <family val="2"/>
      </rPr>
      <t xml:space="preserve">品種が半分ずつ</t>
    </r>
  </si>
  <si>
    <r>
      <rPr>
        <sz val="9"/>
        <rFont val="Meiryo UI"/>
        <family val="0"/>
        <charset val="1"/>
      </rPr>
      <t xml:space="preserve">G</t>
    </r>
    <r>
      <rPr>
        <sz val="9"/>
        <rFont val="Noto Sans CJK SC"/>
        <family val="2"/>
      </rPr>
      <t xml:space="preserve">ライン売上</t>
    </r>
    <r>
      <rPr>
        <sz val="9"/>
        <rFont val="Meiryo UI"/>
        <family val="0"/>
        <charset val="1"/>
      </rPr>
      <t xml:space="preserve">÷</t>
    </r>
    <r>
      <rPr>
        <sz val="9"/>
        <rFont val="Noto Sans CJK SC"/>
        <family val="2"/>
      </rPr>
      <t xml:space="preserve">年間生産量（参考：袋単価）</t>
    </r>
  </si>
  <si>
    <r>
      <rPr>
        <sz val="9"/>
        <rFont val="Noto Sans CJK SC"/>
        <family val="2"/>
      </rPr>
      <t xml:space="preserve">円</t>
    </r>
    <r>
      <rPr>
        <sz val="9"/>
        <rFont val="Meiryo UI"/>
        <family val="0"/>
        <charset val="1"/>
      </rPr>
      <t xml:space="preserve">/</t>
    </r>
    <r>
      <rPr>
        <sz val="9"/>
        <rFont val="Noto Sans CJK SC"/>
        <family val="2"/>
      </rPr>
      <t xml:space="preserve">袋</t>
    </r>
  </si>
  <si>
    <r>
      <rPr>
        <sz val="9"/>
        <rFont val="Meiryo UI"/>
        <family val="0"/>
        <charset val="1"/>
      </rPr>
      <t xml:space="preserve">G</t>
    </r>
    <r>
      <rPr>
        <sz val="9"/>
        <rFont val="Noto Sans CJK SC"/>
        <family val="2"/>
      </rPr>
      <t xml:space="preserve">ライン売上 約</t>
    </r>
    <r>
      <rPr>
        <sz val="9"/>
        <rFont val="Meiryo UI"/>
        <family val="0"/>
        <charset val="1"/>
      </rPr>
      <t xml:space="preserve">14</t>
    </r>
    <r>
      <rPr>
        <sz val="9"/>
        <rFont val="Noto Sans CJK SC"/>
        <family val="2"/>
      </rPr>
      <t xml:space="preserve">億円</t>
    </r>
  </si>
  <si>
    <t xml:space="preserve">追加受注（断った案件）</t>
  </si>
  <si>
    <r>
      <rPr>
        <sz val="9"/>
        <rFont val="Noto Sans CJK SC"/>
        <family val="2"/>
      </rPr>
      <t xml:space="preserve">年</t>
    </r>
    <r>
      <rPr>
        <sz val="9"/>
        <rFont val="Meiryo UI"/>
        <family val="0"/>
        <charset val="1"/>
      </rPr>
      <t xml:space="preserve">800</t>
    </r>
    <r>
      <rPr>
        <sz val="9"/>
        <rFont val="Noto Sans CJK SC"/>
        <family val="2"/>
      </rPr>
      <t xml:space="preserve">万袋</t>
    </r>
    <r>
      <rPr>
        <sz val="9"/>
        <rFont val="Meiryo UI"/>
        <family val="0"/>
        <charset val="1"/>
      </rPr>
      <t xml:space="preserve">×50</t>
    </r>
    <r>
      <rPr>
        <sz val="9"/>
        <rFont val="Noto Sans CJK SC"/>
        <family val="2"/>
      </rPr>
      <t xml:space="preserve">円＝約</t>
    </r>
    <r>
      <rPr>
        <sz val="9"/>
        <rFont val="Meiryo UI"/>
        <family val="0"/>
        <charset val="1"/>
      </rPr>
      <t xml:space="preserve">4</t>
    </r>
    <r>
      <rPr>
        <sz val="9"/>
        <rFont val="Noto Sans CJK SC"/>
        <family val="2"/>
      </rPr>
      <t xml:space="preserve">億円</t>
    </r>
  </si>
  <si>
    <t xml:space="preserve">追加受注の現状生産量比</t>
  </si>
  <si>
    <r>
      <rPr>
        <sz val="9"/>
        <rFont val="Noto Sans CJK SC"/>
        <family val="2"/>
      </rPr>
      <t xml:space="preserve">約</t>
    </r>
    <r>
      <rPr>
        <sz val="9"/>
        <rFont val="Meiryo UI"/>
        <family val="0"/>
        <charset val="1"/>
      </rPr>
      <t xml:space="preserve">26%</t>
    </r>
    <r>
      <rPr>
        <sz val="9"/>
        <rFont val="Noto Sans CJK SC"/>
        <family val="2"/>
      </rPr>
      <t xml:space="preserve">の増産が必要</t>
    </r>
  </si>
  <si>
    <t xml:space="preserve">追加後に必要な日産</t>
  </si>
  <si>
    <r>
      <rPr>
        <sz val="9"/>
        <rFont val="Noto Sans CJK SC"/>
        <family val="2"/>
      </rPr>
      <t xml:space="preserve">製袋機の最大日産（</t>
    </r>
    <r>
      <rPr>
        <sz val="9"/>
        <rFont val="Meiryo UI"/>
        <family val="0"/>
        <charset val="1"/>
      </rPr>
      <t xml:space="preserve">150</t>
    </r>
    <r>
      <rPr>
        <sz val="9"/>
        <rFont val="Noto Sans CJK SC"/>
        <family val="2"/>
      </rPr>
      <t xml:space="preserve">袋</t>
    </r>
    <r>
      <rPr>
        <sz val="9"/>
        <rFont val="Meiryo UI"/>
        <family val="0"/>
        <charset val="1"/>
      </rPr>
      <t xml:space="preserve">/</t>
    </r>
    <r>
      <rPr>
        <sz val="9"/>
        <rFont val="Noto Sans CJK SC"/>
        <family val="2"/>
      </rPr>
      <t xml:space="preserve">分</t>
    </r>
    <r>
      <rPr>
        <sz val="9"/>
        <rFont val="Meiryo UI"/>
        <family val="0"/>
        <charset val="1"/>
      </rPr>
      <t xml:space="preserve">×1,050</t>
    </r>
    <r>
      <rPr>
        <sz val="9"/>
        <rFont val="Noto Sans CJK SC"/>
        <family val="2"/>
      </rPr>
      <t xml:space="preserve">分）</t>
    </r>
  </si>
  <si>
    <t xml:space="preserve">段取り・停止ゼロの理論値</t>
  </si>
  <si>
    <t xml:space="preserve">計画は能力を上げない・稼働時間も不変と明記</t>
  </si>
  <si>
    <r>
      <rPr>
        <sz val="9"/>
        <rFont val="Meiryo UI"/>
        <family val="0"/>
        <charset val="1"/>
      </rPr>
      <t xml:space="preserve">1</t>
    </r>
    <r>
      <rPr>
        <sz val="9"/>
        <rFont val="Noto Sans CJK SC"/>
        <family val="2"/>
      </rPr>
      <t xml:space="preserve">年目の全社増収</t>
    </r>
    <r>
      <rPr>
        <sz val="9"/>
        <rFont val="Meiryo UI"/>
        <family val="0"/>
        <charset val="1"/>
      </rPr>
      <t xml:space="preserve">÷G</t>
    </r>
    <r>
      <rPr>
        <sz val="9"/>
        <rFont val="Noto Sans CJK SC"/>
        <family val="2"/>
      </rPr>
      <t xml:space="preserve">ライン売上</t>
    </r>
  </si>
  <si>
    <r>
      <rPr>
        <sz val="9"/>
        <rFont val="Noto Sans CJK SC"/>
        <family val="2"/>
      </rPr>
      <t xml:space="preserve">全社増収</t>
    </r>
    <r>
      <rPr>
        <sz val="9"/>
        <rFont val="Meiryo UI"/>
        <family val="0"/>
        <charset val="1"/>
      </rPr>
      <t xml:space="preserve">460</t>
    </r>
    <r>
      <rPr>
        <sz val="9"/>
        <rFont val="Noto Sans CJK SC"/>
        <family val="2"/>
      </rPr>
      <t xml:space="preserve">百万円は</t>
    </r>
    <r>
      <rPr>
        <sz val="9"/>
        <rFont val="Meiryo UI"/>
        <family val="0"/>
        <charset val="1"/>
      </rPr>
      <t xml:space="preserve">G</t>
    </r>
    <r>
      <rPr>
        <sz val="9"/>
        <rFont val="Noto Sans CJK SC"/>
        <family val="2"/>
      </rPr>
      <t xml:space="preserve">ライン売上の約</t>
    </r>
    <r>
      <rPr>
        <sz val="9"/>
        <rFont val="Meiryo UI"/>
        <family val="0"/>
        <charset val="1"/>
      </rPr>
      <t xml:space="preserve">33%</t>
    </r>
  </si>
  <si>
    <t xml:space="preserve">文字数チェック</t>
  </si>
  <si>
    <t xml:space="preserve">目安（字）</t>
  </si>
  <si>
    <t xml:space="preserve">文字数（数式）</t>
  </si>
  <si>
    <t xml:space="preserve">本文</t>
  </si>
  <si>
    <r>
      <rPr>
        <sz val="9"/>
        <rFont val="Noto Sans CJK SC"/>
        <family val="2"/>
      </rPr>
      <t xml:space="preserve">事業計画名（</t>
    </r>
    <r>
      <rPr>
        <sz val="9"/>
        <rFont val="Meiryo UI"/>
        <family val="0"/>
        <charset val="1"/>
      </rPr>
      <t xml:space="preserve">30</t>
    </r>
    <r>
      <rPr>
        <sz val="9"/>
        <rFont val="Noto Sans CJK SC"/>
        <family val="2"/>
      </rPr>
      <t xml:space="preserve">字程度）</t>
    </r>
  </si>
  <si>
    <t xml:space="preserve">ロボット式パウチ自動供給装置導入によるパウチゼリー製袋の省力化</t>
  </si>
  <si>
    <r>
      <rPr>
        <sz val="9"/>
        <rFont val="Noto Sans CJK SC"/>
        <family val="2"/>
      </rPr>
      <t xml:space="preserve">事業計画の概要（</t>
    </r>
    <r>
      <rPr>
        <sz val="9"/>
        <rFont val="Meiryo UI"/>
        <family val="0"/>
        <charset val="1"/>
      </rPr>
      <t xml:space="preserve">100</t>
    </r>
    <r>
      <rPr>
        <sz val="9"/>
        <rFont val="Noto Sans CJK SC"/>
        <family val="2"/>
      </rPr>
      <t xml:space="preserve">字程度）</t>
    </r>
  </si>
  <si>
    <r>
      <rPr>
        <sz val="9"/>
        <rFont val="Noto Sans CJK SC"/>
        <family val="2"/>
      </rPr>
      <t xml:space="preserve">空パウチの手投入に人員が拘束され、夜勤は派遣が確保できずカバー出勤が常態化。ロボット式パウチ自動供給装置で投入を自動化し、</t>
    </r>
    <r>
      <rPr>
        <sz val="9"/>
        <rFont val="Meiryo UI"/>
        <family val="0"/>
        <charset val="1"/>
      </rPr>
      <t xml:space="preserve">1</t>
    </r>
    <r>
      <rPr>
        <sz val="9"/>
        <rFont val="Noto Sans CJK SC"/>
        <family val="2"/>
      </rPr>
      <t xml:space="preserve">日</t>
    </r>
    <r>
      <rPr>
        <sz val="9"/>
        <rFont val="Meiryo UI"/>
        <family val="0"/>
        <charset val="1"/>
      </rPr>
      <t xml:space="preserve">13.3</t>
    </r>
    <r>
      <rPr>
        <sz val="9"/>
        <rFont val="Noto Sans CJK SC"/>
        <family val="2"/>
      </rPr>
      <t xml:space="preserve">時間を創出、</t>
    </r>
    <r>
      <rPr>
        <sz val="9"/>
        <rFont val="Meiryo UI"/>
        <family val="0"/>
        <charset val="1"/>
      </rPr>
      <t xml:space="preserve">1</t>
    </r>
    <r>
      <rPr>
        <sz val="9"/>
        <rFont val="Noto Sans CJK SC"/>
        <family val="2"/>
      </rPr>
      <t xml:space="preserve">日</t>
    </r>
    <r>
      <rPr>
        <sz val="9"/>
        <rFont val="Meiryo UI"/>
        <family val="0"/>
        <charset val="1"/>
      </rPr>
      <t xml:space="preserve">17.5</t>
    </r>
    <r>
      <rPr>
        <sz val="9"/>
        <rFont val="Noto Sans CJK SC"/>
        <family val="2"/>
      </rPr>
      <t xml:space="preserve">時間稼働を保ってリソースを多能工化・</t>
    </r>
    <r>
      <rPr>
        <sz val="9"/>
        <rFont val="Meiryo UI"/>
        <family val="0"/>
        <charset val="1"/>
      </rPr>
      <t xml:space="preserve">ODM</t>
    </r>
    <r>
      <rPr>
        <sz val="9"/>
        <rFont val="Noto Sans CJK SC"/>
        <family val="2"/>
      </rPr>
      <t xml:space="preserve">提案へ配分する。</t>
    </r>
  </si>
  <si>
    <r>
      <rPr>
        <b val="true"/>
        <sz val="10"/>
        <color rgb="FF1F4E5F"/>
        <rFont val="Noto Sans CJK SC"/>
        <family val="2"/>
      </rPr>
      <t xml:space="preserve">審査項目カバレッジ（【更新版】省力化投資補助金</t>
    </r>
    <r>
      <rPr>
        <b val="true"/>
        <sz val="10"/>
        <color rgb="FF1F4E5F"/>
        <rFont val="Meiryo UI"/>
        <family val="0"/>
        <charset val="1"/>
      </rPr>
      <t xml:space="preserve">_</t>
    </r>
    <r>
      <rPr>
        <b val="true"/>
        <sz val="10"/>
        <color rgb="FF1F4E5F"/>
        <rFont val="Noto Sans CJK SC"/>
        <family val="2"/>
      </rPr>
      <t xml:space="preserve">審査項目分析表の全項目と計画書の対応）</t>
    </r>
  </si>
  <si>
    <r>
      <rPr>
        <sz val="8"/>
        <color rgb="FF555555"/>
        <rFont val="Noto Sans CJK SC"/>
        <family val="2"/>
      </rPr>
      <t xml:space="preserve">評価：◎十分に対応／○概ね対応（軽微な補強余地）／△補強が必要／</t>
    </r>
    <r>
      <rPr>
        <sz val="8"/>
        <color rgb="FF555555"/>
        <rFont val="Meiryo UI"/>
        <family val="0"/>
        <charset val="1"/>
      </rPr>
      <t xml:space="preserve">×</t>
    </r>
    <r>
      <rPr>
        <sz val="8"/>
        <color rgb="FF555555"/>
        <rFont val="Noto Sans CJK SC"/>
        <family val="2"/>
      </rPr>
      <t xml:space="preserve">未対応／確認＝手続き・事実の確認が必要／対象外</t>
    </r>
  </si>
  <si>
    <t xml:space="preserve">審査大分類</t>
  </si>
  <si>
    <t xml:space="preserve">審査項目（要約）</t>
  </si>
  <si>
    <t xml:space="preserve">重要度（分析表）</t>
  </si>
  <si>
    <t xml:space="preserve">計画書の対応箇所</t>
  </si>
  <si>
    <t xml:space="preserve">評価</t>
  </si>
  <si>
    <t xml:space="preserve">評価コメント</t>
  </si>
  <si>
    <t xml:space="preserve">前提・必須要件</t>
  </si>
  <si>
    <r>
      <rPr>
        <sz val="9"/>
        <rFont val="Noto Sans CJK SC"/>
        <family val="2"/>
      </rPr>
      <t xml:space="preserve">事業計画名（</t>
    </r>
    <r>
      <rPr>
        <sz val="9"/>
        <rFont val="Meiryo UI"/>
        <family val="0"/>
        <charset val="1"/>
      </rPr>
      <t xml:space="preserve">30</t>
    </r>
    <r>
      <rPr>
        <sz val="9"/>
        <rFont val="Noto Sans CJK SC"/>
        <family val="2"/>
      </rPr>
      <t xml:space="preserve">字程度）・概要（</t>
    </r>
    <r>
      <rPr>
        <sz val="9"/>
        <rFont val="Meiryo UI"/>
        <family val="0"/>
        <charset val="1"/>
      </rPr>
      <t xml:space="preserve">100</t>
    </r>
    <r>
      <rPr>
        <sz val="9"/>
        <rFont val="Noto Sans CJK SC"/>
        <family val="2"/>
      </rPr>
      <t xml:space="preserve">字程度）</t>
    </r>
  </si>
  <si>
    <t xml:space="preserve">★★★</t>
  </si>
  <si>
    <t xml:space="preserve">（２）事業計画名、（３）概要</t>
  </si>
  <si>
    <t xml:space="preserve">◎</t>
  </si>
  <si>
    <r>
      <rPr>
        <sz val="9"/>
        <rFont val="Noto Sans CJK SC"/>
        <family val="2"/>
      </rPr>
      <t xml:space="preserve">名称</t>
    </r>
    <r>
      <rPr>
        <sz val="9"/>
        <rFont val="Meiryo UI"/>
        <family val="0"/>
        <charset val="1"/>
      </rPr>
      <t xml:space="preserve">31</t>
    </r>
    <r>
      <rPr>
        <sz val="9"/>
        <rFont val="Noto Sans CJK SC"/>
        <family val="2"/>
      </rPr>
      <t xml:space="preserve">字・概要</t>
    </r>
    <r>
      <rPr>
        <sz val="9"/>
        <rFont val="Meiryo UI"/>
        <family val="0"/>
        <charset val="1"/>
      </rPr>
      <t xml:space="preserve">108</t>
    </r>
    <r>
      <rPr>
        <sz val="9"/>
        <rFont val="Noto Sans CJK SC"/>
        <family val="2"/>
      </rPr>
      <t xml:space="preserve">字で「課題→解決策→効果」の構成。概要の「</t>
    </r>
    <r>
      <rPr>
        <sz val="9"/>
        <rFont val="Meiryo UI"/>
        <family val="0"/>
        <charset val="1"/>
      </rPr>
      <t xml:space="preserve">1</t>
    </r>
    <r>
      <rPr>
        <sz val="9"/>
        <rFont val="Noto Sans CJK SC"/>
        <family val="2"/>
      </rPr>
      <t xml:space="preserve">日」重複のみ表現の改善余地。</t>
    </r>
  </si>
  <si>
    <t xml:space="preserve">No.25</t>
  </si>
  <si>
    <r>
      <rPr>
        <sz val="9"/>
        <rFont val="Noto Sans CJK SC"/>
        <family val="2"/>
      </rPr>
      <t xml:space="preserve">必須</t>
    </r>
    <r>
      <rPr>
        <sz val="9"/>
        <rFont val="Meiryo UI"/>
        <family val="0"/>
        <charset val="1"/>
      </rPr>
      <t xml:space="preserve">2</t>
    </r>
  </si>
  <si>
    <r>
      <rPr>
        <sz val="9"/>
        <rFont val="Noto Sans CJK SC"/>
        <family val="2"/>
      </rPr>
      <t xml:space="preserve">労働生産性の年平均成長率</t>
    </r>
    <r>
      <rPr>
        <sz val="9"/>
        <rFont val="Meiryo UI"/>
        <family val="0"/>
        <charset val="1"/>
      </rPr>
      <t xml:space="preserve">4.0%</t>
    </r>
    <r>
      <rPr>
        <sz val="9"/>
        <rFont val="Noto Sans CJK SC"/>
        <family val="2"/>
      </rPr>
      <t xml:space="preserve">以上（毎年）</t>
    </r>
  </si>
  <si>
    <r>
      <rPr>
        <sz val="9"/>
        <rFont val="Meiryo UI"/>
        <family val="0"/>
        <charset val="1"/>
      </rPr>
      <t xml:space="preserve">3-1①</t>
    </r>
    <r>
      <rPr>
        <sz val="9"/>
        <rFont val="Noto Sans CJK SC"/>
        <family val="2"/>
      </rPr>
      <t xml:space="preserve">、</t>
    </r>
    <r>
      <rPr>
        <sz val="9"/>
        <rFont val="Meiryo UI"/>
        <family val="0"/>
        <charset val="1"/>
      </rPr>
      <t xml:space="preserve">4</t>
    </r>
    <r>
      <rPr>
        <sz val="9"/>
        <rFont val="Noto Sans CJK SC"/>
        <family val="2"/>
      </rPr>
      <t xml:space="preserve">章②、その３②・（別紙４）</t>
    </r>
  </si>
  <si>
    <t xml:space="preserve">○</t>
  </si>
  <si>
    <r>
      <rPr>
        <sz val="9"/>
        <rFont val="Meiryo UI"/>
        <family val="0"/>
        <charset val="1"/>
      </rPr>
      <t xml:space="preserve">4.53%</t>
    </r>
    <r>
      <rPr>
        <sz val="9"/>
        <rFont val="Noto Sans CJK SC"/>
        <family val="2"/>
      </rPr>
      <t xml:space="preserve">／</t>
    </r>
    <r>
      <rPr>
        <sz val="9"/>
        <rFont val="Meiryo UI"/>
        <family val="0"/>
        <charset val="1"/>
      </rPr>
      <t xml:space="preserve">4.10%</t>
    </r>
    <r>
      <rPr>
        <sz val="9"/>
        <rFont val="Noto Sans CJK SC"/>
        <family val="2"/>
      </rPr>
      <t xml:space="preserve">／</t>
    </r>
    <r>
      <rPr>
        <sz val="9"/>
        <rFont val="Meiryo UI"/>
        <family val="0"/>
        <charset val="1"/>
      </rPr>
      <t xml:space="preserve">4.06%</t>
    </r>
    <r>
      <rPr>
        <sz val="9"/>
        <rFont val="Noto Sans CJK SC"/>
        <family val="2"/>
      </rPr>
      <t xml:space="preserve">（</t>
    </r>
    <r>
      <rPr>
        <sz val="9"/>
        <rFont val="Meiryo UI"/>
        <family val="0"/>
        <charset val="1"/>
      </rPr>
      <t xml:space="preserve">4</t>
    </r>
    <r>
      <rPr>
        <sz val="9"/>
        <rFont val="Noto Sans CJK SC"/>
        <family val="2"/>
      </rPr>
      <t xml:space="preserve">・</t>
    </r>
    <r>
      <rPr>
        <sz val="9"/>
        <rFont val="Meiryo UI"/>
        <family val="0"/>
        <charset val="1"/>
      </rPr>
      <t xml:space="preserve">5</t>
    </r>
    <r>
      <rPr>
        <sz val="9"/>
        <rFont val="Noto Sans CJK SC"/>
        <family val="2"/>
      </rPr>
      <t xml:space="preserve">年目</t>
    </r>
    <r>
      <rPr>
        <sz val="9"/>
        <rFont val="Meiryo UI"/>
        <family val="0"/>
        <charset val="1"/>
      </rPr>
      <t xml:space="preserve">4.07%</t>
    </r>
    <r>
      <rPr>
        <sz val="9"/>
        <rFont val="Noto Sans CJK SC"/>
        <family val="2"/>
      </rPr>
      <t xml:space="preserve">／</t>
    </r>
    <r>
      <rPr>
        <sz val="9"/>
        <rFont val="Meiryo UI"/>
        <family val="0"/>
        <charset val="1"/>
      </rPr>
      <t xml:space="preserve">4.13%</t>
    </r>
    <r>
      <rPr>
        <sz val="9"/>
        <rFont val="Noto Sans CJK SC"/>
        <family val="2"/>
      </rPr>
      <t xml:space="preserve">）で毎年要件を満たす。</t>
    </r>
    <r>
      <rPr>
        <sz val="9"/>
        <rFont val="Meiryo UI"/>
        <family val="0"/>
        <charset val="1"/>
      </rPr>
      <t xml:space="preserve">3</t>
    </r>
    <r>
      <rPr>
        <sz val="9"/>
        <rFont val="Noto Sans CJK SC"/>
        <family val="2"/>
      </rPr>
      <t xml:space="preserve">年目の余裕が小さく、原価率改善の根拠補強が望ましい。</t>
    </r>
  </si>
  <si>
    <r>
      <rPr>
        <sz val="9"/>
        <rFont val="Noto Sans CJK SC"/>
        <family val="2"/>
      </rPr>
      <t xml:space="preserve">必須</t>
    </r>
    <r>
      <rPr>
        <sz val="9"/>
        <rFont val="Meiryo UI"/>
        <family val="0"/>
        <charset val="1"/>
      </rPr>
      <t xml:space="preserve">3</t>
    </r>
  </si>
  <si>
    <r>
      <rPr>
        <sz val="9"/>
        <rFont val="Meiryo UI"/>
        <family val="0"/>
        <charset val="1"/>
      </rPr>
      <t xml:space="preserve">1</t>
    </r>
    <r>
      <rPr>
        <sz val="9"/>
        <rFont val="Noto Sans CJK SC"/>
        <family val="2"/>
      </rPr>
      <t xml:space="preserve">人当たり給与支給総額の年平均成長率</t>
    </r>
    <r>
      <rPr>
        <sz val="9"/>
        <rFont val="Meiryo UI"/>
        <family val="0"/>
        <charset val="1"/>
      </rPr>
      <t xml:space="preserve">3.5%</t>
    </r>
    <r>
      <rPr>
        <sz val="9"/>
        <rFont val="Noto Sans CJK SC"/>
        <family val="2"/>
      </rPr>
      <t xml:space="preserve">以上</t>
    </r>
  </si>
  <si>
    <r>
      <rPr>
        <sz val="9"/>
        <rFont val="Meiryo UI"/>
        <family val="0"/>
        <charset val="1"/>
      </rPr>
      <t xml:space="preserve">3-1②</t>
    </r>
    <r>
      <rPr>
        <sz val="9"/>
        <rFont val="Noto Sans CJK SC"/>
        <family val="2"/>
      </rPr>
      <t xml:space="preserve">、その３③・（別紙４）</t>
    </r>
  </si>
  <si>
    <r>
      <rPr>
        <sz val="9"/>
        <rFont val="Meiryo UI"/>
        <family val="0"/>
        <charset val="1"/>
      </rPr>
      <t xml:space="preserve">3.52%</t>
    </r>
    <r>
      <rPr>
        <sz val="9"/>
        <rFont val="Noto Sans CJK SC"/>
        <family val="2"/>
      </rPr>
      <t xml:space="preserve">で要件を充足、足下</t>
    </r>
    <r>
      <rPr>
        <sz val="9"/>
        <rFont val="Meiryo UI"/>
        <family val="0"/>
        <charset val="1"/>
      </rPr>
      <t xml:space="preserve">3.02%</t>
    </r>
    <r>
      <rPr>
        <sz val="9"/>
        <rFont val="Noto Sans CJK SC"/>
        <family val="2"/>
      </rPr>
      <t xml:space="preserve">。実施済み賃上げ（約</t>
    </r>
    <r>
      <rPr>
        <sz val="9"/>
        <rFont val="Meiryo UI"/>
        <family val="0"/>
        <charset val="1"/>
      </rPr>
      <t xml:space="preserve">5%</t>
    </r>
    <r>
      <rPr>
        <sz val="9"/>
        <rFont val="Noto Sans CJK SC"/>
        <family val="2"/>
      </rPr>
      <t xml:space="preserve">）との整合、足下の評価向上の余地あり。</t>
    </r>
  </si>
  <si>
    <r>
      <rPr>
        <sz val="9"/>
        <rFont val="Meiryo UI"/>
        <family val="0"/>
        <charset val="1"/>
      </rPr>
      <t xml:space="preserve">No.7</t>
    </r>
    <r>
      <rPr>
        <sz val="9"/>
        <rFont val="Noto Sans CJK SC"/>
        <family val="2"/>
      </rPr>
      <t xml:space="preserve">、</t>
    </r>
    <r>
      <rPr>
        <sz val="9"/>
        <rFont val="Meiryo UI"/>
        <family val="0"/>
        <charset val="1"/>
      </rPr>
      <t xml:space="preserve">No.19</t>
    </r>
  </si>
  <si>
    <r>
      <rPr>
        <sz val="9"/>
        <rFont val="Noto Sans CJK SC"/>
        <family val="2"/>
      </rPr>
      <t xml:space="preserve">必須</t>
    </r>
    <r>
      <rPr>
        <sz val="9"/>
        <rFont val="Meiryo UI"/>
        <family val="0"/>
        <charset val="1"/>
      </rPr>
      <t xml:space="preserve">4</t>
    </r>
  </si>
  <si>
    <r>
      <rPr>
        <sz val="9"/>
        <rFont val="Noto Sans CJK SC"/>
        <family val="2"/>
      </rPr>
      <t xml:space="preserve">事業場内最低賃金が県最低賃金＋</t>
    </r>
    <r>
      <rPr>
        <sz val="9"/>
        <rFont val="Meiryo UI"/>
        <family val="0"/>
        <charset val="1"/>
      </rPr>
      <t xml:space="preserve">30</t>
    </r>
    <r>
      <rPr>
        <sz val="9"/>
        <rFont val="Noto Sans CJK SC"/>
        <family val="2"/>
      </rPr>
      <t xml:space="preserve">円以上</t>
    </r>
  </si>
  <si>
    <t xml:space="preserve">3-1③</t>
  </si>
  <si>
    <r>
      <rPr>
        <sz val="9"/>
        <rFont val="Noto Sans CJK SC"/>
        <family val="2"/>
      </rPr>
      <t xml:space="preserve">現状</t>
    </r>
    <r>
      <rPr>
        <sz val="9"/>
        <rFont val="Meiryo UI"/>
        <family val="0"/>
        <charset val="1"/>
      </rPr>
      <t xml:space="preserve">1,140</t>
    </r>
    <r>
      <rPr>
        <sz val="9"/>
        <rFont val="Noto Sans CJK SC"/>
        <family val="2"/>
      </rPr>
      <t xml:space="preserve">円（県</t>
    </r>
    <r>
      <rPr>
        <sz val="9"/>
        <rFont val="Meiryo UI"/>
        <family val="0"/>
        <charset val="1"/>
      </rPr>
      <t xml:space="preserve">1,119</t>
    </r>
    <r>
      <rPr>
        <sz val="9"/>
        <rFont val="Noto Sans CJK SC"/>
        <family val="2"/>
      </rPr>
      <t xml:space="preserve">円＋</t>
    </r>
    <r>
      <rPr>
        <sz val="9"/>
        <rFont val="Meiryo UI"/>
        <family val="0"/>
        <charset val="1"/>
      </rPr>
      <t xml:space="preserve">21</t>
    </r>
    <r>
      <rPr>
        <sz val="9"/>
        <rFont val="Noto Sans CJK SC"/>
        <family val="2"/>
      </rPr>
      <t xml:space="preserve">円）→</t>
    </r>
    <r>
      <rPr>
        <sz val="9"/>
        <rFont val="Meiryo UI"/>
        <family val="0"/>
        <charset val="1"/>
      </rPr>
      <t xml:space="preserve">2027</t>
    </r>
    <r>
      <rPr>
        <sz val="9"/>
        <rFont val="Noto Sans CJK SC"/>
        <family val="2"/>
      </rPr>
      <t xml:space="preserve">年</t>
    </r>
    <r>
      <rPr>
        <sz val="9"/>
        <rFont val="Meiryo UI"/>
        <family val="0"/>
        <charset val="1"/>
      </rPr>
      <t xml:space="preserve">3</t>
    </r>
    <r>
      <rPr>
        <sz val="9"/>
        <rFont val="Noto Sans CJK SC"/>
        <family val="2"/>
      </rPr>
      <t xml:space="preserve">月までに</t>
    </r>
    <r>
      <rPr>
        <sz val="9"/>
        <rFont val="Meiryo UI"/>
        <family val="0"/>
        <charset val="1"/>
      </rPr>
      <t xml:space="preserve">1,150</t>
    </r>
    <r>
      <rPr>
        <sz val="9"/>
        <rFont val="Noto Sans CJK SC"/>
        <family val="2"/>
      </rPr>
      <t xml:space="preserve">円以上へ引上げ。判定時点（毎年</t>
    </r>
    <r>
      <rPr>
        <sz val="9"/>
        <rFont val="Meiryo UI"/>
        <family val="0"/>
        <charset val="1"/>
      </rPr>
      <t xml:space="preserve">3</t>
    </r>
    <r>
      <rPr>
        <sz val="9"/>
        <rFont val="Noto Sans CJK SC"/>
        <family val="2"/>
      </rPr>
      <t xml:space="preserve">月末）も正しく記載。</t>
    </r>
  </si>
  <si>
    <r>
      <rPr>
        <sz val="9"/>
        <rFont val="Noto Sans CJK SC"/>
        <family val="2"/>
      </rPr>
      <t xml:space="preserve">必須</t>
    </r>
    <r>
      <rPr>
        <sz val="9"/>
        <rFont val="Meiryo UI"/>
        <family val="0"/>
        <charset val="1"/>
      </rPr>
      <t xml:space="preserve">5</t>
    </r>
  </si>
  <si>
    <r>
      <rPr>
        <sz val="9"/>
        <rFont val="Noto Sans CJK SC"/>
        <family val="2"/>
      </rPr>
      <t xml:space="preserve">一般事業主行動計画の公表（</t>
    </r>
    <r>
      <rPr>
        <sz val="9"/>
        <rFont val="Meiryo UI"/>
        <family val="0"/>
        <charset val="1"/>
      </rPr>
      <t xml:space="preserve">21</t>
    </r>
    <r>
      <rPr>
        <sz val="9"/>
        <rFont val="Noto Sans CJK SC"/>
        <family val="2"/>
      </rPr>
      <t xml:space="preserve">名以上）</t>
    </r>
  </si>
  <si>
    <r>
      <rPr>
        <sz val="9"/>
        <rFont val="Noto Sans CJK SC"/>
        <family val="2"/>
      </rPr>
      <t xml:space="preserve">計画書に記載なし（申請システムで公表</t>
    </r>
    <r>
      <rPr>
        <sz val="9"/>
        <rFont val="Meiryo UI"/>
        <family val="0"/>
        <charset val="1"/>
      </rPr>
      <t xml:space="preserve">URL</t>
    </r>
    <r>
      <rPr>
        <sz val="9"/>
        <rFont val="Noto Sans CJK SC"/>
        <family val="2"/>
      </rPr>
      <t xml:space="preserve">／宣誓）</t>
    </r>
  </si>
  <si>
    <t xml:space="preserve">交付申請時点で有効な計画の公表が必要。</t>
  </si>
  <si>
    <t xml:space="preserve">No.58</t>
  </si>
  <si>
    <r>
      <rPr>
        <sz val="9"/>
        <rFont val="Noto Sans CJK SC"/>
        <family val="2"/>
      </rPr>
      <t xml:space="preserve">必須</t>
    </r>
    <r>
      <rPr>
        <sz val="9"/>
        <rFont val="Meiryo UI"/>
        <family val="0"/>
        <charset val="1"/>
      </rPr>
      <t xml:space="preserve">6</t>
    </r>
  </si>
  <si>
    <r>
      <rPr>
        <sz val="9"/>
        <rFont val="Meiryo UI"/>
        <family val="0"/>
        <charset val="1"/>
      </rPr>
      <t xml:space="preserve">3</t>
    </r>
    <r>
      <rPr>
        <sz val="9"/>
        <rFont val="Noto Sans CJK SC"/>
        <family val="2"/>
      </rPr>
      <t xml:space="preserve">〜</t>
    </r>
    <r>
      <rPr>
        <sz val="9"/>
        <rFont val="Meiryo UI"/>
        <family val="0"/>
        <charset val="1"/>
      </rPr>
      <t xml:space="preserve">5</t>
    </r>
    <r>
      <rPr>
        <sz val="9"/>
        <rFont val="Noto Sans CJK SC"/>
        <family val="2"/>
      </rPr>
      <t xml:space="preserve">年の事業計画</t>
    </r>
  </si>
  <si>
    <t xml:space="preserve">★★</t>
  </si>
  <si>
    <r>
      <rPr>
        <sz val="9"/>
        <rFont val="Meiryo UI"/>
        <family val="0"/>
        <charset val="1"/>
      </rPr>
      <t xml:space="preserve">4</t>
    </r>
    <r>
      <rPr>
        <sz val="9"/>
        <rFont val="Noto Sans CJK SC"/>
        <family val="2"/>
      </rPr>
      <t xml:space="preserve">章、その３【事業計画年数】</t>
    </r>
  </si>
  <si>
    <r>
      <rPr>
        <sz val="9"/>
        <rFont val="Meiryo UI"/>
        <family val="0"/>
        <charset val="1"/>
      </rPr>
      <t xml:space="preserve">3</t>
    </r>
    <r>
      <rPr>
        <sz val="9"/>
        <rFont val="Noto Sans CJK SC"/>
        <family val="2"/>
      </rPr>
      <t xml:space="preserve">年（</t>
    </r>
    <r>
      <rPr>
        <sz val="9"/>
        <rFont val="Meiryo UI"/>
        <family val="0"/>
        <charset val="1"/>
      </rPr>
      <t xml:space="preserve">2029</t>
    </r>
    <r>
      <rPr>
        <sz val="9"/>
        <rFont val="Noto Sans CJK SC"/>
        <family val="2"/>
      </rPr>
      <t xml:space="preserve">年</t>
    </r>
    <r>
      <rPr>
        <sz val="9"/>
        <rFont val="Meiryo UI"/>
        <family val="0"/>
        <charset val="1"/>
      </rPr>
      <t xml:space="preserve">3</t>
    </r>
    <r>
      <rPr>
        <sz val="9"/>
        <rFont val="Noto Sans CJK SC"/>
        <family val="2"/>
      </rPr>
      <t xml:space="preserve">月期〜</t>
    </r>
    <r>
      <rPr>
        <sz val="9"/>
        <rFont val="Meiryo UI"/>
        <family val="0"/>
        <charset val="1"/>
      </rPr>
      <t xml:space="preserve">2031</t>
    </r>
    <r>
      <rPr>
        <sz val="9"/>
        <rFont val="Noto Sans CJK SC"/>
        <family val="2"/>
      </rPr>
      <t xml:space="preserve">年</t>
    </r>
    <r>
      <rPr>
        <sz val="9"/>
        <rFont val="Meiryo UI"/>
        <family val="0"/>
        <charset val="1"/>
      </rPr>
      <t xml:space="preserve">3</t>
    </r>
    <r>
      <rPr>
        <sz val="9"/>
        <rFont val="Noto Sans CJK SC"/>
        <family val="2"/>
      </rPr>
      <t xml:space="preserve">月期）、基準年度</t>
    </r>
    <r>
      <rPr>
        <sz val="9"/>
        <rFont val="Meiryo UI"/>
        <family val="0"/>
        <charset val="1"/>
      </rPr>
      <t xml:space="preserve">2028</t>
    </r>
    <r>
      <rPr>
        <sz val="9"/>
        <rFont val="Noto Sans CJK SC"/>
        <family val="2"/>
      </rPr>
      <t xml:space="preserve">年</t>
    </r>
    <r>
      <rPr>
        <sz val="9"/>
        <rFont val="Meiryo UI"/>
        <family val="0"/>
        <charset val="1"/>
      </rPr>
      <t xml:space="preserve">3</t>
    </r>
    <r>
      <rPr>
        <sz val="9"/>
        <rFont val="Noto Sans CJK SC"/>
        <family val="2"/>
      </rPr>
      <t xml:space="preserve">月期（完了日を含む決算期）と正しく設定。</t>
    </r>
  </si>
  <si>
    <t xml:space="preserve">見積書等（仕様・積算根拠）の添付</t>
  </si>
  <si>
    <r>
      <rPr>
        <sz val="9"/>
        <rFont val="Noto Sans CJK SC"/>
        <family val="2"/>
      </rPr>
      <t xml:space="preserve">（４）、</t>
    </r>
    <r>
      <rPr>
        <sz val="9"/>
        <rFont val="Meiryo UI"/>
        <family val="0"/>
        <charset val="1"/>
      </rPr>
      <t xml:space="preserve">2</t>
    </r>
    <r>
      <rPr>
        <sz val="9"/>
        <rFont val="Noto Sans CJK SC"/>
        <family val="2"/>
      </rPr>
      <t xml:space="preserve">章②③</t>
    </r>
  </si>
  <si>
    <r>
      <rPr>
        <sz val="9"/>
        <rFont val="Noto Sans CJK SC"/>
        <family val="2"/>
      </rPr>
      <t xml:space="preserve">フジシール見積（</t>
    </r>
    <r>
      <rPr>
        <sz val="9"/>
        <rFont val="Meiryo UI"/>
        <family val="0"/>
        <charset val="1"/>
      </rPr>
      <t xml:space="preserve">2026/9/24</t>
    </r>
    <r>
      <rPr>
        <sz val="9"/>
        <rFont val="Noto Sans CJK SC"/>
        <family val="2"/>
      </rPr>
      <t xml:space="preserve">）取得済み。最終版見積との一致、補助対象外経費の切り分けが必要。</t>
    </r>
  </si>
  <si>
    <r>
      <rPr>
        <sz val="9"/>
        <rFont val="Meiryo UI"/>
        <family val="0"/>
        <charset val="1"/>
      </rPr>
      <t xml:space="preserve">No.2</t>
    </r>
    <r>
      <rPr>
        <sz val="9"/>
        <rFont val="Noto Sans CJK SC"/>
        <family val="2"/>
      </rPr>
      <t xml:space="preserve">、</t>
    </r>
    <r>
      <rPr>
        <sz val="9"/>
        <rFont val="Meiryo UI"/>
        <family val="0"/>
        <charset val="1"/>
      </rPr>
      <t xml:space="preserve">No.17</t>
    </r>
    <r>
      <rPr>
        <sz val="9"/>
        <rFont val="Noto Sans CJK SC"/>
        <family val="2"/>
      </rPr>
      <t xml:space="preserve">、</t>
    </r>
    <r>
      <rPr>
        <sz val="9"/>
        <rFont val="Meiryo UI"/>
        <family val="0"/>
        <charset val="1"/>
      </rPr>
      <t xml:space="preserve">No.52</t>
    </r>
  </si>
  <si>
    <t xml:space="preserve">作成支援者の記載</t>
  </si>
  <si>
    <r>
      <rPr>
        <sz val="9"/>
        <rFont val="Meiryo UI"/>
        <family val="0"/>
        <charset val="1"/>
      </rPr>
      <t xml:space="preserve">5</t>
    </r>
    <r>
      <rPr>
        <sz val="9"/>
        <rFont val="Noto Sans CJK SC"/>
        <family val="2"/>
      </rPr>
      <t xml:space="preserve">章②</t>
    </r>
  </si>
  <si>
    <t xml:space="preserve">ライズウィルを記載し、口頭審査は事業者自身が対応と明記。申請システムへの報酬・契約期間の入力を確認。</t>
  </si>
  <si>
    <t xml:space="preserve">No.56</t>
  </si>
  <si>
    <r>
      <rPr>
        <sz val="9"/>
        <rFont val="Meiryo UI"/>
        <family val="0"/>
        <charset val="1"/>
      </rPr>
      <t xml:space="preserve">1.</t>
    </r>
    <r>
      <rPr>
        <sz val="9"/>
        <rFont val="Noto Sans CJK SC"/>
        <family val="2"/>
      </rPr>
      <t xml:space="preserve">適格性</t>
    </r>
  </si>
  <si>
    <t xml:space="preserve">対象事業・対象者・申請要件の充足</t>
  </si>
  <si>
    <t xml:space="preserve">人手不足の解消が主目的であることが明確。ただし補助対象外となり得る経費（既設機の改造、運搬費の区分、台車）がある。</t>
  </si>
  <si>
    <r>
      <rPr>
        <sz val="9"/>
        <rFont val="Meiryo UI"/>
        <family val="0"/>
        <charset val="1"/>
      </rPr>
      <t xml:space="preserve">No.2</t>
    </r>
    <r>
      <rPr>
        <sz val="9"/>
        <rFont val="Noto Sans CJK SC"/>
        <family val="2"/>
      </rPr>
      <t xml:space="preserve">、</t>
    </r>
    <r>
      <rPr>
        <sz val="9"/>
        <rFont val="Meiryo UI"/>
        <family val="0"/>
        <charset val="1"/>
      </rPr>
      <t xml:space="preserve">No.3</t>
    </r>
    <r>
      <rPr>
        <sz val="9"/>
        <rFont val="Noto Sans CJK SC"/>
        <family val="2"/>
      </rPr>
      <t xml:space="preserve">、</t>
    </r>
    <r>
      <rPr>
        <sz val="9"/>
        <rFont val="Meiryo UI"/>
        <family val="0"/>
        <charset val="1"/>
      </rPr>
      <t xml:space="preserve">No.16</t>
    </r>
  </si>
  <si>
    <r>
      <rPr>
        <sz val="9"/>
        <rFont val="Meiryo UI"/>
        <family val="0"/>
        <charset val="1"/>
      </rPr>
      <t xml:space="preserve">2.</t>
    </r>
    <r>
      <rPr>
        <sz val="9"/>
        <rFont val="Noto Sans CJK SC"/>
        <family val="2"/>
      </rPr>
      <t xml:space="preserve">技術面</t>
    </r>
  </si>
  <si>
    <t xml:space="preserve">省力化指数（高さ・算出根拠の妥当性）</t>
  </si>
  <si>
    <r>
      <rPr>
        <sz val="9"/>
        <rFont val="Meiryo UI"/>
        <family val="0"/>
        <charset val="1"/>
      </rPr>
      <t xml:space="preserve">1-3</t>
    </r>
    <r>
      <rPr>
        <sz val="9"/>
        <rFont val="Noto Sans CJK SC"/>
        <family val="2"/>
      </rPr>
      <t xml:space="preserve">、</t>
    </r>
    <r>
      <rPr>
        <sz val="9"/>
        <rFont val="Meiryo UI"/>
        <family val="0"/>
        <charset val="1"/>
      </rPr>
      <t xml:space="preserve">2-1④</t>
    </r>
    <r>
      <rPr>
        <sz val="9"/>
        <rFont val="Noto Sans CJK SC"/>
        <family val="2"/>
      </rPr>
      <t xml:space="preserve">、その３（別紙１・２）</t>
    </r>
  </si>
  <si>
    <r>
      <rPr>
        <sz val="9"/>
        <rFont val="Meiryo UI"/>
        <family val="0"/>
        <charset val="1"/>
      </rPr>
      <t xml:space="preserve">0.78</t>
    </r>
    <r>
      <rPr>
        <sz val="9"/>
        <rFont val="Noto Sans CJK SC"/>
        <family val="2"/>
      </rPr>
      <t xml:space="preserve">で、工程別表・図・別紙が一貫。「無くなる作業」の表現の矛盾、ほぐし</t>
    </r>
    <r>
      <rPr>
        <sz val="9"/>
        <rFont val="Meiryo UI"/>
        <family val="0"/>
        <charset val="1"/>
      </rPr>
      <t xml:space="preserve">563</t>
    </r>
    <r>
      <rPr>
        <sz val="9"/>
        <rFont val="Noto Sans CJK SC"/>
        <family val="2"/>
      </rPr>
      <t xml:space="preserve">分の根拠、入替間隔・型替えの前提の補強が必要。</t>
    </r>
  </si>
  <si>
    <r>
      <rPr>
        <sz val="9"/>
        <rFont val="Meiryo UI"/>
        <family val="0"/>
        <charset val="1"/>
      </rPr>
      <t xml:space="preserve">No.5</t>
    </r>
    <r>
      <rPr>
        <sz val="9"/>
        <rFont val="Noto Sans CJK SC"/>
        <family val="2"/>
      </rPr>
      <t xml:space="preserve">、</t>
    </r>
    <r>
      <rPr>
        <sz val="9"/>
        <rFont val="Meiryo UI"/>
        <family val="0"/>
        <charset val="1"/>
      </rPr>
      <t xml:space="preserve">No.12</t>
    </r>
    <r>
      <rPr>
        <sz val="9"/>
        <rFont val="Noto Sans CJK SC"/>
        <family val="2"/>
      </rPr>
      <t xml:space="preserve">、</t>
    </r>
    <r>
      <rPr>
        <sz val="9"/>
        <rFont val="Meiryo UI"/>
        <family val="0"/>
        <charset val="1"/>
      </rPr>
      <t xml:space="preserve">No.13</t>
    </r>
  </si>
  <si>
    <t xml:space="preserve">投資回収期間（短さ・算出根拠の妥当性）</t>
  </si>
  <si>
    <r>
      <rPr>
        <sz val="9"/>
        <rFont val="Meiryo UI"/>
        <family val="0"/>
        <charset val="1"/>
      </rPr>
      <t xml:space="preserve">2-2②</t>
    </r>
    <r>
      <rPr>
        <sz val="9"/>
        <rFont val="Noto Sans CJK SC"/>
        <family val="2"/>
      </rPr>
      <t xml:space="preserve">、その３（別紙３）</t>
    </r>
  </si>
  <si>
    <t xml:space="preserve">△</t>
  </si>
  <si>
    <r>
      <rPr>
        <sz val="9"/>
        <rFont val="Meiryo UI"/>
        <family val="0"/>
        <charset val="1"/>
      </rPr>
      <t xml:space="preserve">0.33</t>
    </r>
    <r>
      <rPr>
        <sz val="9"/>
        <rFont val="Noto Sans CJK SC"/>
        <family val="2"/>
      </rPr>
      <t xml:space="preserve">年は手引きの記入例（</t>
    </r>
    <r>
      <rPr>
        <sz val="9"/>
        <rFont val="Meiryo UI"/>
        <family val="0"/>
        <charset val="1"/>
      </rPr>
      <t xml:space="preserve">1</t>
    </r>
    <r>
      <rPr>
        <sz val="9"/>
        <rFont val="Noto Sans CJK SC"/>
        <family val="2"/>
      </rPr>
      <t xml:space="preserve">年あたりの付加価値増加額）と算定方法が異なる。手引きの方法でも</t>
    </r>
    <r>
      <rPr>
        <sz val="9"/>
        <rFont val="Meiryo UI"/>
        <family val="0"/>
        <charset val="1"/>
      </rPr>
      <t xml:space="preserve">0.93</t>
    </r>
    <r>
      <rPr>
        <sz val="9"/>
        <rFont val="Noto Sans CJK SC"/>
        <family val="2"/>
      </rPr>
      <t xml:space="preserve">年で</t>
    </r>
    <r>
      <rPr>
        <sz val="9"/>
        <rFont val="Meiryo UI"/>
        <family val="0"/>
        <charset val="1"/>
      </rPr>
      <t xml:space="preserve">1</t>
    </r>
    <r>
      <rPr>
        <sz val="9"/>
        <rFont val="Noto Sans CJK SC"/>
        <family val="2"/>
      </rPr>
      <t xml:space="preserve">年未満。</t>
    </r>
  </si>
  <si>
    <r>
      <rPr>
        <sz val="9"/>
        <rFont val="Meiryo UI"/>
        <family val="0"/>
        <charset val="1"/>
      </rPr>
      <t xml:space="preserve">No.1</t>
    </r>
    <r>
      <rPr>
        <sz val="9"/>
        <rFont val="Noto Sans CJK SC"/>
        <family val="2"/>
      </rPr>
      <t xml:space="preserve">、</t>
    </r>
    <r>
      <rPr>
        <sz val="9"/>
        <rFont val="Meiryo UI"/>
        <family val="0"/>
        <charset val="1"/>
      </rPr>
      <t xml:space="preserve">No.15</t>
    </r>
  </si>
  <si>
    <t xml:space="preserve">2-c</t>
  </si>
  <si>
    <t xml:space="preserve">付加価値額の年平均成長率（大きさ・根拠）</t>
  </si>
  <si>
    <r>
      <rPr>
        <sz val="9"/>
        <rFont val="Meiryo UI"/>
        <family val="0"/>
        <charset val="1"/>
      </rPr>
      <t xml:space="preserve">4</t>
    </r>
    <r>
      <rPr>
        <sz val="9"/>
        <rFont val="Noto Sans CJK SC"/>
        <family val="2"/>
      </rPr>
      <t xml:space="preserve">章、その３①</t>
    </r>
  </si>
  <si>
    <r>
      <rPr>
        <sz val="9"/>
        <rFont val="Meiryo UI"/>
        <family val="0"/>
        <charset val="1"/>
      </rPr>
      <t xml:space="preserve">5.88%</t>
    </r>
    <r>
      <rPr>
        <sz val="9"/>
        <rFont val="Noto Sans CJK SC"/>
        <family val="2"/>
      </rPr>
      <t xml:space="preserve">。</t>
    </r>
    <r>
      <rPr>
        <sz val="9"/>
        <rFont val="Meiryo UI"/>
        <family val="0"/>
        <charset val="1"/>
      </rPr>
      <t xml:space="preserve">1</t>
    </r>
    <r>
      <rPr>
        <sz val="9"/>
        <rFont val="Noto Sans CJK SC"/>
        <family val="2"/>
      </rPr>
      <t xml:space="preserve">年目の増収根拠（能力を上げない装置での</t>
    </r>
    <r>
      <rPr>
        <sz val="9"/>
        <rFont val="Meiryo UI"/>
        <family val="0"/>
        <charset val="1"/>
      </rPr>
      <t xml:space="preserve">800</t>
    </r>
    <r>
      <rPr>
        <sz val="9"/>
        <rFont val="Noto Sans CJK SC"/>
        <family val="2"/>
      </rPr>
      <t xml:space="preserve">万袋の追加生産）と、原価率改善の定量的な根拠が弱い。</t>
    </r>
  </si>
  <si>
    <r>
      <rPr>
        <sz val="9"/>
        <rFont val="Meiryo UI"/>
        <family val="0"/>
        <charset val="1"/>
      </rPr>
      <t xml:space="preserve">No.4</t>
    </r>
    <r>
      <rPr>
        <sz val="9"/>
        <rFont val="Noto Sans CJK SC"/>
        <family val="2"/>
      </rPr>
      <t xml:space="preserve">、</t>
    </r>
    <r>
      <rPr>
        <sz val="9"/>
        <rFont val="Meiryo UI"/>
        <family val="0"/>
        <charset val="1"/>
      </rPr>
      <t xml:space="preserve">No.18</t>
    </r>
  </si>
  <si>
    <t xml:space="preserve">2-d</t>
  </si>
  <si>
    <t xml:space="preserve">オーダーメイド設備</t>
  </si>
  <si>
    <r>
      <rPr>
        <sz val="9"/>
        <rFont val="Meiryo UI"/>
        <family val="0"/>
        <charset val="1"/>
      </rPr>
      <t xml:space="preserve">2</t>
    </r>
    <r>
      <rPr>
        <sz val="9"/>
        <rFont val="Noto Sans CJK SC"/>
        <family val="2"/>
      </rPr>
      <t xml:space="preserve">章③④</t>
    </r>
  </si>
  <si>
    <r>
      <rPr>
        <sz val="9"/>
        <rFont val="Noto Sans CJK SC"/>
        <family val="2"/>
      </rPr>
      <t xml:space="preserve">物理・制御・レイアウトの</t>
    </r>
    <r>
      <rPr>
        <sz val="9"/>
        <rFont val="Meiryo UI"/>
        <family val="0"/>
        <charset val="1"/>
      </rPr>
      <t xml:space="preserve">3</t>
    </r>
    <r>
      <rPr>
        <sz val="9"/>
        <rFont val="Noto Sans CJK SC"/>
        <family val="2"/>
      </rPr>
      <t xml:space="preserve">観点、メーカーとの打合せ</t>
    </r>
    <r>
      <rPr>
        <sz val="9"/>
        <rFont val="Meiryo UI"/>
        <family val="0"/>
        <charset val="1"/>
      </rPr>
      <t xml:space="preserve">3</t>
    </r>
    <r>
      <rPr>
        <sz val="9"/>
        <rFont val="Noto Sans CJK SC"/>
        <family val="2"/>
      </rPr>
      <t xml:space="preserve">回の経緯、代替案（汎用品・中古機）の棄却まで記載。</t>
    </r>
  </si>
  <si>
    <r>
      <rPr>
        <sz val="9"/>
        <rFont val="Meiryo UI"/>
        <family val="0"/>
        <charset val="1"/>
      </rPr>
      <t xml:space="preserve">3.</t>
    </r>
    <r>
      <rPr>
        <sz val="9"/>
        <rFont val="Noto Sans CJK SC"/>
        <family val="2"/>
      </rPr>
      <t xml:space="preserve">計画面</t>
    </r>
  </si>
  <si>
    <t xml:space="preserve">人手不足の解消に向けた導入計画・現に人手不足であることの説明</t>
  </si>
  <si>
    <r>
      <rPr>
        <sz val="9"/>
        <rFont val="Meiryo UI"/>
        <family val="0"/>
        <charset val="1"/>
      </rPr>
      <t xml:space="preserve">1-1</t>
    </r>
    <r>
      <rPr>
        <sz val="9"/>
        <rFont val="Noto Sans CJK SC"/>
        <family val="2"/>
      </rPr>
      <t xml:space="preserve">、</t>
    </r>
    <r>
      <rPr>
        <sz val="9"/>
        <rFont val="Meiryo UI"/>
        <family val="0"/>
        <charset val="1"/>
      </rPr>
      <t xml:space="preserve">1-2</t>
    </r>
    <r>
      <rPr>
        <sz val="9"/>
        <rFont val="Noto Sans CJK SC"/>
        <family val="2"/>
      </rPr>
      <t xml:space="preserve">、</t>
    </r>
    <r>
      <rPr>
        <sz val="9"/>
        <rFont val="Meiryo UI"/>
        <family val="0"/>
        <charset val="1"/>
      </rPr>
      <t xml:space="preserve">1-3②</t>
    </r>
  </si>
  <si>
    <r>
      <rPr>
        <sz val="9"/>
        <rFont val="Noto Sans CJK SC"/>
        <family val="2"/>
      </rPr>
      <t xml:space="preserve">有効求人倍率・欠員率・派遣の確保難を記載。カバー出勤の頻度など自社の数値があるとさらに強い。出典表現</t>
    </r>
    <r>
      <rPr>
        <sz val="9"/>
        <rFont val="Meiryo UI"/>
        <family val="0"/>
        <charset val="1"/>
      </rPr>
      <t xml:space="preserve">2</t>
    </r>
    <r>
      <rPr>
        <sz val="9"/>
        <rFont val="Noto Sans CJK SC"/>
        <family val="2"/>
      </rPr>
      <t xml:space="preserve">か所の修正を。</t>
    </r>
  </si>
  <si>
    <r>
      <rPr>
        <sz val="9"/>
        <rFont val="Meiryo UI"/>
        <family val="0"/>
        <charset val="1"/>
      </rPr>
      <t xml:space="preserve">No.11</t>
    </r>
    <r>
      <rPr>
        <sz val="9"/>
        <rFont val="Noto Sans CJK SC"/>
        <family val="2"/>
      </rPr>
      <t xml:space="preserve">、</t>
    </r>
    <r>
      <rPr>
        <sz val="9"/>
        <rFont val="Meiryo UI"/>
        <family val="0"/>
        <charset val="1"/>
      </rPr>
      <t xml:space="preserve">No.8</t>
    </r>
    <r>
      <rPr>
        <sz val="9"/>
        <rFont val="Noto Sans CJK SC"/>
        <family val="2"/>
      </rPr>
      <t xml:space="preserve">、</t>
    </r>
    <r>
      <rPr>
        <sz val="9"/>
        <rFont val="Meiryo UI"/>
        <family val="0"/>
        <charset val="1"/>
      </rPr>
      <t xml:space="preserve">No.9</t>
    </r>
  </si>
  <si>
    <t xml:space="preserve">スケジュール・ロードマップ</t>
  </si>
  <si>
    <r>
      <rPr>
        <sz val="9"/>
        <rFont val="Meiryo UI"/>
        <family val="0"/>
        <charset val="1"/>
      </rPr>
      <t xml:space="preserve">5</t>
    </r>
    <r>
      <rPr>
        <sz val="9"/>
        <rFont val="Noto Sans CJK SC"/>
        <family val="2"/>
      </rPr>
      <t xml:space="preserve">章③④、末尾スケジュール</t>
    </r>
  </si>
  <si>
    <t xml:space="preserve">工程・時期・担当が具体的。貼付したスケジュール画像の版の確認が必要。</t>
  </si>
  <si>
    <r>
      <rPr>
        <sz val="9"/>
        <rFont val="Meiryo UI"/>
        <family val="0"/>
        <charset val="1"/>
      </rPr>
      <t xml:space="preserve">No.6</t>
    </r>
    <r>
      <rPr>
        <sz val="9"/>
        <rFont val="Noto Sans CJK SC"/>
        <family val="2"/>
      </rPr>
      <t xml:space="preserve">、</t>
    </r>
    <r>
      <rPr>
        <sz val="9"/>
        <rFont val="Meiryo UI"/>
        <family val="0"/>
        <charset val="1"/>
      </rPr>
      <t xml:space="preserve">No.20</t>
    </r>
    <r>
      <rPr>
        <sz val="9"/>
        <rFont val="Noto Sans CJK SC"/>
        <family val="2"/>
      </rPr>
      <t xml:space="preserve">、</t>
    </r>
    <r>
      <rPr>
        <sz val="9"/>
        <rFont val="Meiryo UI"/>
        <family val="0"/>
        <charset val="1"/>
      </rPr>
      <t xml:space="preserve">No.48</t>
    </r>
  </si>
  <si>
    <t xml:space="preserve">社内外の体制・財務状況・サイバーセキュリティ・資金調達</t>
  </si>
  <si>
    <r>
      <rPr>
        <sz val="9"/>
        <rFont val="Meiryo UI"/>
        <family val="0"/>
        <charset val="1"/>
      </rPr>
      <t xml:space="preserve">5</t>
    </r>
    <r>
      <rPr>
        <sz val="9"/>
        <rFont val="Noto Sans CJK SC"/>
        <family val="2"/>
      </rPr>
      <t xml:space="preserve">章①②、</t>
    </r>
    <r>
      <rPr>
        <sz val="9"/>
        <rFont val="Meiryo UI"/>
        <family val="0"/>
        <charset val="1"/>
      </rPr>
      <t xml:space="preserve">1</t>
    </r>
    <r>
      <rPr>
        <sz val="9"/>
        <rFont val="Noto Sans CJK SC"/>
        <family val="2"/>
      </rPr>
      <t xml:space="preserve">．直近実績、</t>
    </r>
    <r>
      <rPr>
        <sz val="9"/>
        <rFont val="Meiryo UI"/>
        <family val="0"/>
        <charset val="1"/>
      </rPr>
      <t xml:space="preserve">4</t>
    </r>
    <r>
      <rPr>
        <sz val="9"/>
        <rFont val="Noto Sans CJK SC"/>
        <family val="2"/>
      </rPr>
      <t xml:space="preserve">章①、</t>
    </r>
    <r>
      <rPr>
        <sz val="9"/>
        <rFont val="Meiryo UI"/>
        <family val="0"/>
        <charset val="1"/>
      </rPr>
      <t xml:space="preserve">6</t>
    </r>
    <r>
      <rPr>
        <sz val="9"/>
        <rFont val="Noto Sans CJK SC"/>
        <family val="2"/>
      </rPr>
      <t xml:space="preserve">章①⑥</t>
    </r>
  </si>
  <si>
    <r>
      <rPr>
        <sz val="9"/>
        <rFont val="Noto Sans CJK SC"/>
        <family val="2"/>
      </rPr>
      <t xml:space="preserve">体制表・自己資本比率・現預金・</t>
    </r>
    <r>
      <rPr>
        <sz val="9"/>
        <rFont val="Meiryo UI"/>
        <family val="0"/>
        <charset val="1"/>
      </rPr>
      <t xml:space="preserve">SECURITY ACTION</t>
    </r>
    <r>
      <rPr>
        <sz val="9"/>
        <rFont val="Noto Sans CJK SC"/>
        <family val="2"/>
      </rPr>
      <t xml:space="preserve">を記載。代表者の関与、補助金が使えない場合の代替策、宣言状況の明確化で強化できる。</t>
    </r>
  </si>
  <si>
    <r>
      <rPr>
        <sz val="9"/>
        <rFont val="Meiryo UI"/>
        <family val="0"/>
        <charset val="1"/>
      </rPr>
      <t xml:space="preserve">No.22</t>
    </r>
    <r>
      <rPr>
        <sz val="9"/>
        <rFont val="Noto Sans CJK SC"/>
        <family val="2"/>
      </rPr>
      <t xml:space="preserve">、</t>
    </r>
    <r>
      <rPr>
        <sz val="9"/>
        <rFont val="Meiryo UI"/>
        <family val="0"/>
        <charset val="1"/>
      </rPr>
      <t xml:space="preserve">No.24</t>
    </r>
    <r>
      <rPr>
        <sz val="9"/>
        <rFont val="Noto Sans CJK SC"/>
        <family val="2"/>
      </rPr>
      <t xml:space="preserve">、</t>
    </r>
    <r>
      <rPr>
        <sz val="9"/>
        <rFont val="Meiryo UI"/>
        <family val="0"/>
        <charset val="1"/>
      </rPr>
      <t xml:space="preserve">No.55</t>
    </r>
  </si>
  <si>
    <t xml:space="preserve">3-d</t>
  </si>
  <si>
    <t xml:space="preserve">成果の優位性・収益性、遂行方法・スケジュールの妥当性（需要の継続性）</t>
  </si>
  <si>
    <r>
      <rPr>
        <sz val="9"/>
        <rFont val="Meiryo UI"/>
        <family val="0"/>
        <charset val="1"/>
      </rPr>
      <t xml:space="preserve">2-2</t>
    </r>
    <r>
      <rPr>
        <sz val="9"/>
        <rFont val="Noto Sans CJK SC"/>
        <family val="2"/>
      </rPr>
      <t xml:space="preserve">、</t>
    </r>
    <r>
      <rPr>
        <sz val="9"/>
        <rFont val="Meiryo UI"/>
        <family val="0"/>
        <charset val="1"/>
      </rPr>
      <t xml:space="preserve">3</t>
    </r>
    <r>
      <rPr>
        <sz val="9"/>
        <rFont val="Noto Sans CJK SC"/>
        <family val="2"/>
      </rPr>
      <t xml:space="preserve">章②③</t>
    </r>
  </si>
  <si>
    <t xml:space="preserve">既存顧客・市場データは充実。追加受注を生産する余地の説明が欠けている。</t>
  </si>
  <si>
    <t xml:space="preserve">3-e</t>
  </si>
  <si>
    <t xml:space="preserve">高い賃上げ目標とその実現可能性（足下の賃上げを含む）</t>
  </si>
  <si>
    <t xml:space="preserve">3-1②</t>
  </si>
  <si>
    <r>
      <rPr>
        <sz val="9"/>
        <rFont val="Meiryo UI"/>
        <family val="0"/>
        <charset val="1"/>
      </rPr>
      <t xml:space="preserve">3.52%</t>
    </r>
    <r>
      <rPr>
        <sz val="9"/>
        <rFont val="Noto Sans CJK SC"/>
        <family val="2"/>
      </rPr>
      <t xml:space="preserve">は要件水準。原資（労務費抑制・</t>
    </r>
    <r>
      <rPr>
        <sz val="9"/>
        <rFont val="Meiryo UI"/>
        <family val="0"/>
        <charset val="1"/>
      </rPr>
      <t xml:space="preserve">ODM</t>
    </r>
    <r>
      <rPr>
        <sz val="9"/>
        <rFont val="Noto Sans CJK SC"/>
        <family val="2"/>
      </rPr>
      <t xml:space="preserve">・役員報酬据置）の説明はあるが、既存従業員の昇給率、県最低賃金の上昇との比較、足下への実績反映で強化を。</t>
    </r>
  </si>
  <si>
    <t xml:space="preserve">会社全体へのシナジー・リソース最適化</t>
  </si>
  <si>
    <r>
      <rPr>
        <sz val="9"/>
        <rFont val="Meiryo UI"/>
        <family val="0"/>
        <charset val="1"/>
      </rPr>
      <t xml:space="preserve">3</t>
    </r>
    <r>
      <rPr>
        <sz val="9"/>
        <rFont val="Noto Sans CJK SC"/>
        <family val="2"/>
      </rPr>
      <t xml:space="preserve">章①〜⑤、</t>
    </r>
    <r>
      <rPr>
        <sz val="9"/>
        <rFont val="Meiryo UI"/>
        <family val="0"/>
        <charset val="1"/>
      </rPr>
      <t xml:space="preserve">2-2③</t>
    </r>
  </si>
  <si>
    <r>
      <rPr>
        <sz val="9"/>
        <rFont val="Noto Sans CJK SC"/>
        <family val="2"/>
      </rPr>
      <t xml:space="preserve">創出</t>
    </r>
    <r>
      <rPr>
        <sz val="9"/>
        <rFont val="Meiryo UI"/>
        <family val="0"/>
        <charset val="1"/>
      </rPr>
      <t xml:space="preserve">3,262</t>
    </r>
    <r>
      <rPr>
        <sz val="9"/>
        <rFont val="Noto Sans CJK SC"/>
        <family val="2"/>
      </rPr>
      <t xml:space="preserve">人時を</t>
    </r>
    <r>
      <rPr>
        <sz val="9"/>
        <rFont val="Meiryo UI"/>
        <family val="0"/>
        <charset val="1"/>
      </rPr>
      <t xml:space="preserve">5</t>
    </r>
    <r>
      <rPr>
        <sz val="9"/>
        <rFont val="Noto Sans CJK SC"/>
        <family val="2"/>
      </rPr>
      <t xml:space="preserve">領域へ配分率・人時・</t>
    </r>
    <r>
      <rPr>
        <sz val="9"/>
        <rFont val="Meiryo UI"/>
        <family val="0"/>
        <charset val="1"/>
      </rPr>
      <t xml:space="preserve">KPI</t>
    </r>
    <r>
      <rPr>
        <sz val="9"/>
        <rFont val="Noto Sans CJK SC"/>
        <family val="2"/>
      </rPr>
      <t xml:space="preserve">・</t>
    </r>
    <r>
      <rPr>
        <sz val="9"/>
        <rFont val="Meiryo UI"/>
        <family val="0"/>
        <charset val="1"/>
      </rPr>
      <t xml:space="preserve">3</t>
    </r>
    <r>
      <rPr>
        <sz val="9"/>
        <rFont val="Noto Sans CJK SC"/>
        <family val="2"/>
      </rPr>
      <t xml:space="preserve">段階で提示しており、採択事例の到達形に相当。</t>
    </r>
    <r>
      <rPr>
        <sz val="9"/>
        <rFont val="Meiryo UI"/>
        <family val="0"/>
        <charset val="1"/>
      </rPr>
      <t xml:space="preserve">KPI</t>
    </r>
    <r>
      <rPr>
        <sz val="9"/>
        <rFont val="Noto Sans CJK SC"/>
        <family val="2"/>
      </rPr>
      <t xml:space="preserve">の</t>
    </r>
    <r>
      <rPr>
        <sz val="9"/>
        <rFont val="Meiryo UI"/>
        <family val="0"/>
        <charset val="1"/>
      </rPr>
      <t xml:space="preserve">5</t>
    </r>
    <r>
      <rPr>
        <sz val="9"/>
        <rFont val="Noto Sans CJK SC"/>
        <family val="2"/>
      </rPr>
      <t xml:space="preserve">章との統一のみ。</t>
    </r>
  </si>
  <si>
    <r>
      <rPr>
        <sz val="9"/>
        <rFont val="Meiryo UI"/>
        <family val="0"/>
        <charset val="1"/>
      </rPr>
      <t xml:space="preserve">No.20</t>
    </r>
    <r>
      <rPr>
        <sz val="9"/>
        <rFont val="Noto Sans CJK SC"/>
        <family val="2"/>
      </rPr>
      <t xml:space="preserve">、</t>
    </r>
    <r>
      <rPr>
        <sz val="9"/>
        <rFont val="Meiryo UI"/>
        <family val="0"/>
        <charset val="1"/>
      </rPr>
      <t xml:space="preserve">No.44</t>
    </r>
  </si>
  <si>
    <r>
      <rPr>
        <sz val="9"/>
        <rFont val="Noto Sans CJK SC"/>
        <family val="2"/>
      </rPr>
      <t xml:space="preserve">労働生産性・</t>
    </r>
    <r>
      <rPr>
        <sz val="9"/>
        <rFont val="Meiryo UI"/>
        <family val="0"/>
        <charset val="1"/>
      </rPr>
      <t xml:space="preserve">1</t>
    </r>
    <r>
      <rPr>
        <sz val="9"/>
        <rFont val="Noto Sans CJK SC"/>
        <family val="2"/>
      </rPr>
      <t xml:space="preserve">人当たり給与支給総額の算出根拠の整合</t>
    </r>
  </si>
  <si>
    <r>
      <rPr>
        <sz val="9"/>
        <rFont val="Meiryo UI"/>
        <family val="0"/>
        <charset val="1"/>
      </rPr>
      <t xml:space="preserve">3-1</t>
    </r>
    <r>
      <rPr>
        <sz val="9"/>
        <rFont val="Noto Sans CJK SC"/>
        <family val="2"/>
      </rPr>
      <t xml:space="preserve">、</t>
    </r>
    <r>
      <rPr>
        <sz val="9"/>
        <rFont val="Meiryo UI"/>
        <family val="0"/>
        <charset val="1"/>
      </rPr>
      <t xml:space="preserve">4</t>
    </r>
    <r>
      <rPr>
        <sz val="9"/>
        <rFont val="Noto Sans CJK SC"/>
        <family val="2"/>
      </rPr>
      <t xml:space="preserve">章、その３</t>
    </r>
  </si>
  <si>
    <t xml:space="preserve">その１その２とその３の数値は全て一致（数値照合シート）。進行期の人件費と実施済み賃上げの整合が課題。</t>
  </si>
  <si>
    <r>
      <rPr>
        <sz val="9"/>
        <rFont val="Meiryo UI"/>
        <family val="0"/>
        <charset val="1"/>
      </rPr>
      <t xml:space="preserve">No.7</t>
    </r>
    <r>
      <rPr>
        <sz val="9"/>
        <rFont val="Noto Sans CJK SC"/>
        <family val="2"/>
      </rPr>
      <t xml:space="preserve">、</t>
    </r>
    <r>
      <rPr>
        <sz val="9"/>
        <rFont val="Meiryo UI"/>
        <family val="0"/>
        <charset val="1"/>
      </rPr>
      <t xml:space="preserve">No.10</t>
    </r>
  </si>
  <si>
    <r>
      <rPr>
        <sz val="9"/>
        <rFont val="Meiryo UI"/>
        <family val="0"/>
        <charset val="1"/>
      </rPr>
      <t xml:space="preserve">4.</t>
    </r>
    <r>
      <rPr>
        <sz val="9"/>
        <rFont val="Noto Sans CJK SC"/>
        <family val="2"/>
      </rPr>
      <t xml:space="preserve">政策面</t>
    </r>
  </si>
  <si>
    <t xml:space="preserve">4-a</t>
  </si>
  <si>
    <t xml:space="preserve">地域の特性・雇用への波及効果</t>
  </si>
  <si>
    <r>
      <rPr>
        <sz val="9"/>
        <rFont val="Meiryo UI"/>
        <family val="0"/>
        <charset val="1"/>
      </rPr>
      <t xml:space="preserve">2-2③(6)</t>
    </r>
    <r>
      <rPr>
        <sz val="9"/>
        <rFont val="Noto Sans CJK SC"/>
        <family val="2"/>
      </rPr>
      <t xml:space="preserve">、</t>
    </r>
    <r>
      <rPr>
        <sz val="9"/>
        <rFont val="Meiryo UI"/>
        <family val="0"/>
        <charset val="1"/>
      </rPr>
      <t xml:space="preserve">3</t>
    </r>
    <r>
      <rPr>
        <sz val="9"/>
        <rFont val="Noto Sans CJK SC"/>
        <family val="2"/>
      </rPr>
      <t xml:space="preserve">章⑥</t>
    </r>
  </si>
  <si>
    <r>
      <rPr>
        <sz val="9"/>
        <rFont val="Noto Sans CJK SC"/>
        <family val="2"/>
      </rPr>
      <t xml:space="preserve">雇用維持・新卒採用、県の人材確保・活躍パッケージとの整合を記載。出典の表現（▲</t>
    </r>
    <r>
      <rPr>
        <sz val="9"/>
        <rFont val="Meiryo UI"/>
        <family val="0"/>
        <charset val="1"/>
      </rPr>
      <t xml:space="preserve">23.1%</t>
    </r>
    <r>
      <rPr>
        <sz val="9"/>
        <rFont val="Noto Sans CJK SC"/>
        <family val="2"/>
      </rPr>
      <t xml:space="preserve">）の修正のみ。</t>
    </r>
  </si>
  <si>
    <t xml:space="preserve">No.9</t>
  </si>
  <si>
    <t xml:space="preserve">4-b</t>
  </si>
  <si>
    <t xml:space="preserve">事業承継を契機とした新たな取組</t>
  </si>
  <si>
    <t xml:space="preserve">★</t>
  </si>
  <si>
    <r>
      <rPr>
        <sz val="9"/>
        <rFont val="Meiryo UI"/>
        <family val="0"/>
        <charset val="1"/>
      </rPr>
      <t xml:space="preserve">6</t>
    </r>
    <r>
      <rPr>
        <sz val="9"/>
        <rFont val="Noto Sans CJK SC"/>
        <family val="2"/>
      </rPr>
      <t xml:space="preserve">章②</t>
    </r>
  </si>
  <si>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月の代表交代を契機と明記。加点</t>
    </r>
    <r>
      <rPr>
        <sz val="9"/>
        <rFont val="Meiryo UI"/>
        <family val="0"/>
        <charset val="1"/>
      </rPr>
      <t xml:space="preserve">1</t>
    </r>
    <r>
      <rPr>
        <sz val="9"/>
        <rFont val="Noto Sans CJK SC"/>
        <family val="2"/>
      </rPr>
      <t xml:space="preserve">の申請検討を。</t>
    </r>
  </si>
  <si>
    <t xml:space="preserve">No.23</t>
  </si>
  <si>
    <t xml:space="preserve">4-c</t>
  </si>
  <si>
    <t xml:space="preserve">先端的なデジタル技術・ロボットの活用等</t>
  </si>
  <si>
    <r>
      <rPr>
        <sz val="9"/>
        <rFont val="Meiryo UI"/>
        <family val="0"/>
        <charset val="1"/>
      </rPr>
      <t xml:space="preserve">2</t>
    </r>
    <r>
      <rPr>
        <sz val="9"/>
        <rFont val="Noto Sans CJK SC"/>
        <family val="2"/>
      </rPr>
      <t xml:space="preserve">章①③、</t>
    </r>
    <r>
      <rPr>
        <sz val="9"/>
        <rFont val="Meiryo UI"/>
        <family val="0"/>
        <charset val="1"/>
      </rPr>
      <t xml:space="preserve">1-3③</t>
    </r>
  </si>
  <si>
    <t xml:space="preserve">ロボットアーム・センサー制御による自動供給、食品向けロボット出荷の動向を記載。</t>
  </si>
  <si>
    <t xml:space="preserve">4-d</t>
  </si>
  <si>
    <t xml:space="preserve">イノベーション製品（中小企業製品）の導入</t>
  </si>
  <si>
    <t xml:space="preserve">対象外</t>
  </si>
  <si>
    <t xml:space="preserve">発注先（フジシール）は中小企業に該当しない見込みのため対象外。</t>
  </si>
  <si>
    <t xml:space="preserve">4-e</t>
  </si>
  <si>
    <t xml:space="preserve">米国の追加関税措置の影響</t>
  </si>
  <si>
    <t xml:space="preserve">該当なし（参考様式を使用）。</t>
  </si>
  <si>
    <t xml:space="preserve">特例</t>
  </si>
  <si>
    <r>
      <rPr>
        <sz val="9"/>
        <rFont val="Noto Sans CJK SC"/>
        <family val="2"/>
      </rPr>
      <t xml:space="preserve">特例</t>
    </r>
    <r>
      <rPr>
        <sz val="9"/>
        <rFont val="Meiryo UI"/>
        <family val="0"/>
        <charset val="1"/>
      </rPr>
      <t xml:space="preserve">1</t>
    </r>
  </si>
  <si>
    <t xml:space="preserve">大幅賃上げに係る補助上限額引上げ</t>
  </si>
  <si>
    <r>
      <rPr>
        <sz val="9"/>
        <rFont val="Meiryo UI"/>
        <family val="0"/>
        <charset val="1"/>
      </rPr>
      <t xml:space="preserve">6</t>
    </r>
    <r>
      <rPr>
        <sz val="9"/>
        <rFont val="Noto Sans CJK SC"/>
        <family val="2"/>
      </rPr>
      <t xml:space="preserve">章③</t>
    </r>
  </si>
  <si>
    <t xml:space="preserve">利用しない旨を明記。</t>
  </si>
  <si>
    <r>
      <rPr>
        <sz val="9"/>
        <rFont val="Noto Sans CJK SC"/>
        <family val="2"/>
      </rPr>
      <t xml:space="preserve">特例</t>
    </r>
    <r>
      <rPr>
        <sz val="9"/>
        <rFont val="Meiryo UI"/>
        <family val="0"/>
        <charset val="1"/>
      </rPr>
      <t xml:space="preserve">2</t>
    </r>
  </si>
  <si>
    <t xml:space="preserve">最低賃金引上げに係る補助率引上げ</t>
  </si>
  <si>
    <r>
      <rPr>
        <sz val="9"/>
        <rFont val="Noto Sans CJK SC"/>
        <family val="2"/>
      </rPr>
      <t xml:space="preserve">口頭</t>
    </r>
    <r>
      <rPr>
        <sz val="9"/>
        <rFont val="Meiryo UI"/>
        <family val="0"/>
        <charset val="1"/>
      </rPr>
      <t xml:space="preserve">1</t>
    </r>
  </si>
  <si>
    <t xml:space="preserve">計画内容の説明・矛盾の有無の確認</t>
  </si>
  <si>
    <r>
      <rPr>
        <sz val="9"/>
        <rFont val="Noto Sans CJK SC"/>
        <family val="2"/>
      </rPr>
      <t xml:space="preserve">統括責任者（常務取締役）が自ら説明と明記。追加受注の生産余地、投資回収期間の算定方法、経費の対象範囲、</t>
    </r>
    <r>
      <rPr>
        <sz val="9"/>
        <rFont val="Meiryo UI"/>
        <family val="0"/>
        <charset val="1"/>
      </rPr>
      <t xml:space="preserve">G</t>
    </r>
    <r>
      <rPr>
        <sz val="9"/>
        <rFont val="Noto Sans CJK SC"/>
        <family val="2"/>
      </rPr>
      <t xml:space="preserve">ラインの取引先は想定質問として準備を。</t>
    </r>
  </si>
  <si>
    <r>
      <rPr>
        <sz val="9"/>
        <rFont val="Meiryo UI"/>
        <family val="0"/>
        <charset val="1"/>
      </rPr>
      <t xml:space="preserve">No.4</t>
    </r>
    <r>
      <rPr>
        <sz val="9"/>
        <rFont val="Noto Sans CJK SC"/>
        <family val="2"/>
      </rPr>
      <t xml:space="preserve">、</t>
    </r>
    <r>
      <rPr>
        <sz val="9"/>
        <rFont val="Meiryo UI"/>
        <family val="0"/>
        <charset val="1"/>
      </rPr>
      <t xml:space="preserve">No.1</t>
    </r>
    <r>
      <rPr>
        <sz val="9"/>
        <rFont val="Noto Sans CJK SC"/>
        <family val="2"/>
      </rPr>
      <t xml:space="preserve">、</t>
    </r>
    <r>
      <rPr>
        <sz val="9"/>
        <rFont val="Meiryo UI"/>
        <family val="0"/>
        <charset val="1"/>
      </rPr>
      <t xml:space="preserve">No.2</t>
    </r>
    <r>
      <rPr>
        <sz val="9"/>
        <rFont val="Noto Sans CJK SC"/>
        <family val="2"/>
      </rPr>
      <t xml:space="preserve">、</t>
    </r>
    <r>
      <rPr>
        <sz val="9"/>
        <rFont val="Meiryo UI"/>
        <family val="0"/>
        <charset val="1"/>
      </rPr>
      <t xml:space="preserve">No.53</t>
    </r>
  </si>
  <si>
    <t xml:space="preserve">加点項目</t>
  </si>
  <si>
    <r>
      <rPr>
        <sz val="9"/>
        <rFont val="Noto Sans CJK SC"/>
        <family val="2"/>
      </rPr>
      <t xml:space="preserve">加点</t>
    </r>
    <r>
      <rPr>
        <sz val="9"/>
        <rFont val="Meiryo UI"/>
        <family val="0"/>
        <charset val="1"/>
      </rPr>
      <t xml:space="preserve">1</t>
    </r>
  </si>
  <si>
    <r>
      <rPr>
        <sz val="9"/>
        <rFont val="Noto Sans CJK SC"/>
        <family val="2"/>
      </rPr>
      <t xml:space="preserve">事業承継又は</t>
    </r>
    <r>
      <rPr>
        <sz val="9"/>
        <rFont val="Meiryo UI"/>
        <family val="0"/>
        <charset val="1"/>
      </rPr>
      <t xml:space="preserve">M&amp;A</t>
    </r>
  </si>
  <si>
    <t xml:space="preserve">要検討</t>
  </si>
  <si>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月の代表者交代が該当する可能性。証憑（履歴事項全部証明書等）を確認して申請を。</t>
    </r>
  </si>
  <si>
    <r>
      <rPr>
        <sz val="9"/>
        <rFont val="Noto Sans CJK SC"/>
        <family val="2"/>
      </rPr>
      <t xml:space="preserve">加点</t>
    </r>
    <r>
      <rPr>
        <sz val="9"/>
        <rFont val="Meiryo UI"/>
        <family val="0"/>
        <charset val="1"/>
      </rPr>
      <t xml:space="preserve">2</t>
    </r>
  </si>
  <si>
    <r>
      <rPr>
        <sz val="9"/>
        <rFont val="Noto Sans CJK SC"/>
        <family val="2"/>
      </rPr>
      <t xml:space="preserve">事業継続力強化計画（</t>
    </r>
    <r>
      <rPr>
        <sz val="9"/>
        <rFont val="Meiryo UI"/>
        <family val="0"/>
        <charset val="1"/>
      </rPr>
      <t xml:space="preserve">BCP</t>
    </r>
    <r>
      <rPr>
        <sz val="9"/>
        <rFont val="Noto Sans CJK SC"/>
        <family val="2"/>
      </rPr>
      <t xml:space="preserve">）の認定</t>
    </r>
  </si>
  <si>
    <r>
      <rPr>
        <sz val="9"/>
        <rFont val="Noto Sans CJK SC"/>
        <family val="2"/>
      </rPr>
      <t xml:space="preserve">認定の有無を確認（</t>
    </r>
    <r>
      <rPr>
        <sz val="9"/>
        <rFont val="Meiryo UI"/>
        <family val="0"/>
        <charset val="1"/>
      </rPr>
      <t xml:space="preserve">6</t>
    </r>
    <r>
      <rPr>
        <sz val="9"/>
        <rFont val="Noto Sans CJK SC"/>
        <family val="2"/>
      </rPr>
      <t xml:space="preserve">章①⑤の</t>
    </r>
    <r>
      <rPr>
        <sz val="9"/>
        <rFont val="Meiryo UI"/>
        <family val="0"/>
        <charset val="1"/>
      </rPr>
      <t xml:space="preserve">BCP</t>
    </r>
    <r>
      <rPr>
        <sz val="9"/>
        <rFont val="Noto Sans CJK SC"/>
        <family val="2"/>
      </rPr>
      <t xml:space="preserve">リスク対策と連動させると良い）。</t>
    </r>
  </si>
  <si>
    <r>
      <rPr>
        <sz val="9"/>
        <rFont val="Noto Sans CJK SC"/>
        <family val="2"/>
      </rPr>
      <t xml:space="preserve">加点</t>
    </r>
    <r>
      <rPr>
        <sz val="9"/>
        <rFont val="Meiryo UI"/>
        <family val="0"/>
        <charset val="1"/>
      </rPr>
      <t xml:space="preserve">3</t>
    </r>
  </si>
  <si>
    <t xml:space="preserve">成長加速マッチングサービスへの登録</t>
  </si>
  <si>
    <t xml:space="preserve">会員登録＋挑戦課題の登録まで必要。</t>
  </si>
  <si>
    <r>
      <rPr>
        <sz val="9"/>
        <rFont val="Noto Sans CJK SC"/>
        <family val="2"/>
      </rPr>
      <t xml:space="preserve">加点</t>
    </r>
    <r>
      <rPr>
        <sz val="9"/>
        <rFont val="Meiryo UI"/>
        <family val="0"/>
        <charset val="1"/>
      </rPr>
      <t xml:space="preserve">4</t>
    </r>
  </si>
  <si>
    <t xml:space="preserve">地域別最低賃金引上げ</t>
  </si>
  <si>
    <r>
      <rPr>
        <sz val="9"/>
        <rFont val="Noto Sans CJK SC"/>
        <family val="2"/>
      </rPr>
      <t xml:space="preserve">特例</t>
    </r>
    <r>
      <rPr>
        <sz val="9"/>
        <rFont val="Meiryo UI"/>
        <family val="0"/>
        <charset val="1"/>
      </rPr>
      <t xml:space="preserve">2</t>
    </r>
    <r>
      <rPr>
        <sz val="9"/>
        <rFont val="Noto Sans CJK SC"/>
        <family val="2"/>
      </rPr>
      <t xml:space="preserve">は利用しないと記載。加点の要件（対象期間に最低賃金近傍の従業員が</t>
    </r>
    <r>
      <rPr>
        <sz val="9"/>
        <rFont val="Meiryo UI"/>
        <family val="0"/>
        <charset val="1"/>
      </rPr>
      <t xml:space="preserve">30%</t>
    </r>
    <r>
      <rPr>
        <sz val="9"/>
        <rFont val="Noto Sans CJK SC"/>
        <family val="2"/>
      </rPr>
      <t xml:space="preserve">以上の月が</t>
    </r>
    <r>
      <rPr>
        <sz val="9"/>
        <rFont val="Meiryo UI"/>
        <family val="0"/>
        <charset val="1"/>
      </rPr>
      <t xml:space="preserve">3</t>
    </r>
    <r>
      <rPr>
        <sz val="9"/>
        <rFont val="Noto Sans CJK SC"/>
        <family val="2"/>
      </rPr>
      <t xml:space="preserve">か月以上）に該当するかは別途確認。</t>
    </r>
  </si>
  <si>
    <r>
      <rPr>
        <sz val="9"/>
        <rFont val="Noto Sans CJK SC"/>
        <family val="2"/>
      </rPr>
      <t xml:space="preserve">加点</t>
    </r>
    <r>
      <rPr>
        <sz val="9"/>
        <rFont val="Meiryo UI"/>
        <family val="0"/>
        <charset val="1"/>
      </rPr>
      <t xml:space="preserve">5</t>
    </r>
  </si>
  <si>
    <r>
      <rPr>
        <sz val="9"/>
        <rFont val="Noto Sans CJK SC"/>
        <family val="2"/>
      </rPr>
      <t xml:space="preserve">事業場内最低賃金引上げ（</t>
    </r>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月→直近月で</t>
    </r>
    <r>
      <rPr>
        <sz val="9"/>
        <rFont val="Meiryo UI"/>
        <family val="0"/>
        <charset val="1"/>
      </rPr>
      <t xml:space="preserve">55</t>
    </r>
    <r>
      <rPr>
        <sz val="9"/>
        <rFont val="Noto Sans CJK SC"/>
        <family val="2"/>
      </rPr>
      <t xml:space="preserve">円以上）</t>
    </r>
  </si>
  <si>
    <r>
      <rPr>
        <sz val="9"/>
        <rFont val="Noto Sans CJK SC"/>
        <family val="2"/>
      </rPr>
      <t xml:space="preserve">現在の事業場内最低賃金</t>
    </r>
    <r>
      <rPr>
        <sz val="9"/>
        <rFont val="Meiryo UI"/>
        <family val="0"/>
        <charset val="1"/>
      </rPr>
      <t xml:space="preserve">1,140</t>
    </r>
    <r>
      <rPr>
        <sz val="9"/>
        <rFont val="Noto Sans CJK SC"/>
        <family val="2"/>
      </rPr>
      <t xml:space="preserve">円。</t>
    </r>
    <r>
      <rPr>
        <sz val="9"/>
        <rFont val="Meiryo UI"/>
        <family val="0"/>
        <charset val="1"/>
      </rPr>
      <t xml:space="preserve">2026</t>
    </r>
    <r>
      <rPr>
        <sz val="9"/>
        <rFont val="Noto Sans CJK SC"/>
        <family val="2"/>
      </rPr>
      <t xml:space="preserve">年</t>
    </r>
    <r>
      <rPr>
        <sz val="9"/>
        <rFont val="Meiryo UI"/>
        <family val="0"/>
        <charset val="1"/>
      </rPr>
      <t xml:space="preserve">6</t>
    </r>
    <r>
      <rPr>
        <sz val="9"/>
        <rFont val="Noto Sans CJK SC"/>
        <family val="2"/>
      </rPr>
      <t xml:space="preserve">月時点の額との差を確認。</t>
    </r>
  </si>
  <si>
    <r>
      <rPr>
        <sz val="9"/>
        <rFont val="Noto Sans CJK SC"/>
        <family val="2"/>
      </rPr>
      <t xml:space="preserve">加点</t>
    </r>
    <r>
      <rPr>
        <sz val="9"/>
        <rFont val="Meiryo UI"/>
        <family val="0"/>
        <charset val="1"/>
      </rPr>
      <t xml:space="preserve">6</t>
    </r>
  </si>
  <si>
    <t xml:space="preserve">えるぼし認定</t>
  </si>
  <si>
    <t xml:space="preserve">認定の有無を確認。</t>
  </si>
  <si>
    <r>
      <rPr>
        <sz val="9"/>
        <rFont val="Noto Sans CJK SC"/>
        <family val="2"/>
      </rPr>
      <t xml:space="preserve">加点</t>
    </r>
    <r>
      <rPr>
        <sz val="9"/>
        <rFont val="Meiryo UI"/>
        <family val="0"/>
        <charset val="1"/>
      </rPr>
      <t xml:space="preserve">7</t>
    </r>
  </si>
  <si>
    <t xml:space="preserve">くるみん認定</t>
  </si>
  <si>
    <r>
      <rPr>
        <sz val="9"/>
        <rFont val="Noto Sans CJK SC"/>
        <family val="2"/>
      </rPr>
      <t xml:space="preserve">加点</t>
    </r>
    <r>
      <rPr>
        <sz val="9"/>
        <rFont val="Meiryo UI"/>
        <family val="0"/>
        <charset val="1"/>
      </rPr>
      <t xml:space="preserve">8</t>
    </r>
  </si>
  <si>
    <t xml:space="preserve">省力化ナビの活用</t>
  </si>
  <si>
    <r>
      <rPr>
        <sz val="9"/>
        <rFont val="Noto Sans CJK SC"/>
        <family val="2"/>
      </rPr>
      <t xml:space="preserve">締切までに解決策</t>
    </r>
    <r>
      <rPr>
        <sz val="9"/>
        <rFont val="Meiryo UI"/>
        <family val="0"/>
        <charset val="1"/>
      </rPr>
      <t xml:space="preserve">PDF</t>
    </r>
    <r>
      <rPr>
        <sz val="9"/>
        <rFont val="Noto Sans CJK SC"/>
        <family val="2"/>
      </rPr>
      <t xml:space="preserve">をダウンロード（</t>
    </r>
    <r>
      <rPr>
        <sz val="9"/>
        <rFont val="Meiryo UI"/>
        <family val="0"/>
        <charset val="1"/>
      </rPr>
      <t xml:space="preserve">G</t>
    </r>
    <r>
      <rPr>
        <sz val="9"/>
        <rFont val="Noto Sans CJK SC"/>
        <family val="2"/>
      </rPr>
      <t xml:space="preserve">ビズ</t>
    </r>
    <r>
      <rPr>
        <sz val="9"/>
        <rFont val="Meiryo UI"/>
        <family val="0"/>
        <charset val="1"/>
      </rPr>
      <t xml:space="preserve">ID</t>
    </r>
    <r>
      <rPr>
        <sz val="9"/>
        <rFont val="Noto Sans CJK SC"/>
        <family val="2"/>
      </rPr>
      <t xml:space="preserve">の一致）。</t>
    </r>
  </si>
  <si>
    <r>
      <rPr>
        <sz val="9"/>
        <rFont val="Noto Sans CJK SC"/>
        <family val="2"/>
      </rPr>
      <t xml:space="preserve">加点</t>
    </r>
    <r>
      <rPr>
        <sz val="9"/>
        <rFont val="Meiryo UI"/>
        <family val="0"/>
        <charset val="1"/>
      </rPr>
      <t xml:space="preserve">9</t>
    </r>
  </si>
  <si>
    <r>
      <rPr>
        <sz val="9"/>
        <rFont val="Noto Sans CJK SC"/>
        <family val="2"/>
      </rPr>
      <t xml:space="preserve">健康経営優良法人</t>
    </r>
    <r>
      <rPr>
        <sz val="9"/>
        <rFont val="Meiryo UI"/>
        <family val="0"/>
        <charset val="1"/>
      </rPr>
      <t xml:space="preserve">2026</t>
    </r>
  </si>
  <si>
    <r>
      <rPr>
        <sz val="9"/>
        <rFont val="Noto Sans CJK SC"/>
        <family val="2"/>
      </rPr>
      <t xml:space="preserve">加点</t>
    </r>
    <r>
      <rPr>
        <sz val="9"/>
        <rFont val="Meiryo UI"/>
        <family val="0"/>
        <charset val="1"/>
      </rPr>
      <t xml:space="preserve">10</t>
    </r>
  </si>
  <si>
    <t xml:space="preserve">生産性向上支援センターの利用</t>
  </si>
  <si>
    <t xml:space="preserve">生産性向上取組計画書の作成・提出の可否を確認。</t>
  </si>
  <si>
    <t xml:space="preserve">減点項目</t>
  </si>
  <si>
    <r>
      <rPr>
        <sz val="9"/>
        <rFont val="Noto Sans CJK SC"/>
        <family val="2"/>
      </rPr>
      <t xml:space="preserve">減点</t>
    </r>
    <r>
      <rPr>
        <sz val="9"/>
        <rFont val="Meiryo UI"/>
        <family val="0"/>
        <charset val="1"/>
      </rPr>
      <t xml:space="preserve">1</t>
    </r>
  </si>
  <si>
    <t xml:space="preserve">過去の賃上げ加点の要件未達</t>
  </si>
  <si>
    <t xml:space="preserve">該当なしと記載。</t>
  </si>
  <si>
    <r>
      <rPr>
        <sz val="9"/>
        <rFont val="Noto Sans CJK SC"/>
        <family val="2"/>
      </rPr>
      <t xml:space="preserve">減点</t>
    </r>
    <r>
      <rPr>
        <sz val="9"/>
        <rFont val="Meiryo UI"/>
        <family val="0"/>
        <charset val="1"/>
      </rPr>
      <t xml:space="preserve">2</t>
    </r>
  </si>
  <si>
    <t xml:space="preserve">過剰投資の抑制（他の助成制度の利用実績）</t>
  </si>
  <si>
    <r>
      <rPr>
        <sz val="9"/>
        <rFont val="Noto Sans CJK SC"/>
        <family val="2"/>
      </rPr>
      <t xml:space="preserve">他の助成制度の利用実績確認書に、ものづくり補助金</t>
    </r>
    <r>
      <rPr>
        <sz val="9"/>
        <rFont val="Meiryo UI"/>
        <family val="0"/>
        <charset val="1"/>
      </rPr>
      <t xml:space="preserve">21</t>
    </r>
    <r>
      <rPr>
        <sz val="9"/>
        <rFont val="Noto Sans CJK SC"/>
        <family val="2"/>
      </rPr>
      <t xml:space="preserve">次（グローバル枠）の採択実績を記載。</t>
    </r>
  </si>
  <si>
    <t xml:space="preserve">画像確認状況（その１その２に貼付された図・写真）</t>
  </si>
  <si>
    <r>
      <rPr>
        <sz val="8"/>
        <color rgb="FF555555"/>
        <rFont val="Noto Sans CJK SC"/>
        <family val="2"/>
      </rPr>
      <t xml:space="preserve">本体ファイル（</t>
    </r>
    <r>
      <rPr>
        <sz val="8"/>
        <color rgb="FF555555"/>
        <rFont val="Meiryo UI"/>
        <family val="0"/>
        <charset val="1"/>
      </rPr>
      <t xml:space="preserve">docx</t>
    </r>
    <r>
      <rPr>
        <sz val="8"/>
        <color rgb="FF555555"/>
        <rFont val="Noto Sans CJK SC"/>
        <family val="2"/>
      </rPr>
      <t xml:space="preserve">）のダウンロードがこの環境のネットワーク設定で拒否されたため、図の元データ（★</t>
    </r>
    <r>
      <rPr>
        <sz val="8"/>
        <color rgb="FF555555"/>
        <rFont val="Meiryo UI"/>
        <family val="0"/>
        <charset val="1"/>
      </rPr>
      <t xml:space="preserve">0930G</t>
    </r>
    <r>
      <rPr>
        <sz val="8"/>
        <color rgb="FF555555"/>
        <rFont val="Noto Sans CJK SC"/>
        <family val="2"/>
      </rPr>
      <t xml:space="preserve">ライン</t>
    </r>
    <r>
      <rPr>
        <sz val="8"/>
        <color rgb="FF555555"/>
        <rFont val="Meiryo UI"/>
        <family val="0"/>
        <charset val="1"/>
      </rPr>
      <t xml:space="preserve">_</t>
    </r>
    <r>
      <rPr>
        <sz val="8"/>
        <color rgb="FF555555"/>
        <rFont val="Noto Sans CJK SC"/>
        <family val="2"/>
      </rPr>
      <t xml:space="preserve">レイアウト工程ビフォーアフター</t>
    </r>
    <r>
      <rPr>
        <sz val="8"/>
        <color rgb="FF555555"/>
        <rFont val="Meiryo UI"/>
        <family val="0"/>
        <charset val="1"/>
      </rPr>
      <t xml:space="preserve">_</t>
    </r>
    <r>
      <rPr>
        <sz val="8"/>
        <color rgb="FF555555"/>
        <rFont val="Noto Sans CJK SC"/>
        <family val="2"/>
      </rPr>
      <t xml:space="preserve">トンボ飲料様</t>
    </r>
    <r>
      <rPr>
        <sz val="8"/>
        <color rgb="FF555555"/>
        <rFont val="Meiryo UI"/>
        <family val="0"/>
        <charset val="1"/>
      </rPr>
      <t xml:space="preserve">_v3.pptx</t>
    </r>
    <r>
      <rPr>
        <sz val="8"/>
        <color rgb="FF555555"/>
        <rFont val="Noto Sans CJK SC"/>
        <family val="2"/>
      </rPr>
      <t xml:space="preserve">）を画像化して図中の文字・数値を確認しました。貼付画像そのものの最終確認は、本体ファイル取得後に実施が必要です。</t>
    </r>
  </si>
  <si>
    <t xml:space="preserve">貼付位置（その１その２）</t>
  </si>
  <si>
    <t xml:space="preserve">図・画像の内容（見出し）</t>
  </si>
  <si>
    <t xml:space="preserve">元データ</t>
  </si>
  <si>
    <t xml:space="preserve">確認状況</t>
  </si>
  <si>
    <t xml:space="preserve">確認結果・指摘</t>
  </si>
  <si>
    <t xml:space="preserve">（４）経費一覧の下</t>
  </si>
  <si>
    <r>
      <rPr>
        <sz val="9"/>
        <rFont val="Noto Sans CJK SC"/>
        <family val="2"/>
      </rPr>
      <t xml:space="preserve">パウチ自動供給装置 平面図（生産開始時：</t>
    </r>
    <r>
      <rPr>
        <sz val="9"/>
        <rFont val="Meiryo UI"/>
        <family val="0"/>
        <charset val="1"/>
      </rPr>
      <t xml:space="preserve">5</t>
    </r>
    <r>
      <rPr>
        <sz val="9"/>
        <rFont val="Noto Sans CJK SC"/>
        <family val="2"/>
      </rPr>
      <t xml:space="preserve">段積</t>
    </r>
    <r>
      <rPr>
        <sz val="9"/>
        <rFont val="Meiryo UI"/>
        <family val="0"/>
        <charset val="1"/>
      </rPr>
      <t xml:space="preserve">×4</t>
    </r>
    <r>
      <rPr>
        <sz val="9"/>
        <rFont val="Noto Sans CJK SC"/>
        <family val="2"/>
      </rPr>
      <t xml:space="preserve">列＋予備</t>
    </r>
    <r>
      <rPr>
        <sz val="9"/>
        <rFont val="Meiryo UI"/>
        <family val="0"/>
        <charset val="1"/>
      </rPr>
      <t xml:space="preserve">1</t>
    </r>
    <r>
      <rPr>
        <sz val="9"/>
        <rFont val="Noto Sans CJK SC"/>
        <family val="2"/>
      </rPr>
      <t xml:space="preserve">列）</t>
    </r>
  </si>
  <si>
    <t xml:space="preserve">フジシール提案資料（推定）</t>
  </si>
  <si>
    <t xml:space="preserve">未確認</t>
  </si>
  <si>
    <r>
      <rPr>
        <sz val="9"/>
        <rFont val="Noto Sans CJK SC"/>
        <family val="2"/>
      </rPr>
      <t xml:space="preserve">本体ファイル取得後に確認：段数・列数・袋数（</t>
    </r>
    <r>
      <rPr>
        <sz val="9"/>
        <rFont val="Meiryo UI"/>
        <family val="0"/>
        <charset val="1"/>
      </rPr>
      <t xml:space="preserve">24,000</t>
    </r>
    <r>
      <rPr>
        <sz val="9"/>
        <rFont val="Noto Sans CJK SC"/>
        <family val="2"/>
      </rPr>
      <t xml:space="preserve">袋）・寸法の表記が本文と一致しているか。</t>
    </r>
  </si>
  <si>
    <t xml:space="preserve">同 側面図（ロボットアームとパレット搬送）</t>
  </si>
  <si>
    <t xml:space="preserve">同上。</t>
  </si>
  <si>
    <t xml:space="preserve">当社の歴史と事業内容</t>
  </si>
  <si>
    <t xml:space="preserve">不明</t>
  </si>
  <si>
    <r>
      <rPr>
        <sz val="9"/>
        <rFont val="Noto Sans CJK SC"/>
        <family val="2"/>
      </rPr>
      <t xml:space="preserve">顔写真等の不要な個人情報がないか、年号・数値（創業</t>
    </r>
    <r>
      <rPr>
        <sz val="9"/>
        <rFont val="Meiryo UI"/>
        <family val="0"/>
        <charset val="1"/>
      </rPr>
      <t xml:space="preserve">1896</t>
    </r>
    <r>
      <rPr>
        <sz val="9"/>
        <rFont val="Noto Sans CJK SC"/>
        <family val="2"/>
      </rPr>
      <t xml:space="preserve">年、設立昭和</t>
    </r>
    <r>
      <rPr>
        <sz val="9"/>
        <rFont val="Meiryo UI"/>
        <family val="0"/>
        <charset val="1"/>
      </rPr>
      <t xml:space="preserve">37</t>
    </r>
    <r>
      <rPr>
        <sz val="9"/>
        <rFont val="Noto Sans CJK SC"/>
        <family val="2"/>
      </rPr>
      <t xml:space="preserve">年、売上等）が本文と一致しているか。</t>
    </r>
  </si>
  <si>
    <t xml:space="preserve">No.61</t>
  </si>
  <si>
    <r>
      <rPr>
        <sz val="9"/>
        <rFont val="Meiryo UI"/>
        <family val="0"/>
        <charset val="1"/>
      </rPr>
      <t xml:space="preserve">1-2 </t>
    </r>
    <r>
      <rPr>
        <sz val="9"/>
        <rFont val="Noto Sans CJK SC"/>
        <family val="2"/>
      </rPr>
      <t xml:space="preserve">課題①</t>
    </r>
  </si>
  <si>
    <t xml:space="preserve">パウチとスパウト（ストロー）、製袋機で行う工程</t>
  </si>
  <si>
    <t xml:space="preserve">pptx v3 p.3</t>
  </si>
  <si>
    <t xml:space="preserve">元データで確認済</t>
  </si>
  <si>
    <r>
      <rPr>
        <sz val="9"/>
        <rFont val="Noto Sans CJK SC"/>
        <family val="2"/>
      </rPr>
      <t xml:space="preserve">工程（①空パウチ→②熱圧着→③リークチェッカ→④充填）と</t>
    </r>
    <r>
      <rPr>
        <sz val="9"/>
        <rFont val="Meiryo UI"/>
        <family val="0"/>
        <charset val="1"/>
      </rPr>
      <t xml:space="preserve">150</t>
    </r>
    <r>
      <rPr>
        <sz val="9"/>
        <rFont val="Noto Sans CJK SC"/>
        <family val="2"/>
      </rPr>
      <t xml:space="preserve">袋／分は本文と一致。「①」が左右に</t>
    </r>
    <r>
      <rPr>
        <sz val="9"/>
        <rFont val="Meiryo UI"/>
        <family val="0"/>
        <charset val="1"/>
      </rPr>
      <t xml:space="preserve">2</t>
    </r>
    <r>
      <rPr>
        <sz val="9"/>
        <rFont val="Noto Sans CJK SC"/>
        <family val="2"/>
      </rPr>
      <t xml:space="preserve">つある、他社</t>
    </r>
    <r>
      <rPr>
        <sz val="9"/>
        <rFont val="Meiryo UI"/>
        <family val="0"/>
        <charset val="1"/>
      </rPr>
      <t xml:space="preserve">Web</t>
    </r>
    <r>
      <rPr>
        <sz val="9"/>
        <rFont val="Noto Sans CJK SC"/>
        <family val="2"/>
      </rPr>
      <t xml:space="preserve">サイトの写真の転載、用語欄の重なり（描画時）。</t>
    </r>
  </si>
  <si>
    <r>
      <rPr>
        <sz val="9"/>
        <rFont val="Meiryo UI"/>
        <family val="0"/>
        <charset val="1"/>
      </rPr>
      <t xml:space="preserve">No.36</t>
    </r>
    <r>
      <rPr>
        <sz val="9"/>
        <rFont val="Noto Sans CJK SC"/>
        <family val="2"/>
      </rPr>
      <t xml:space="preserve">、</t>
    </r>
    <r>
      <rPr>
        <sz val="9"/>
        <rFont val="Meiryo UI"/>
        <family val="0"/>
        <charset val="1"/>
      </rPr>
      <t xml:space="preserve">No.59</t>
    </r>
    <r>
      <rPr>
        <sz val="9"/>
        <rFont val="Noto Sans CJK SC"/>
        <family val="2"/>
      </rPr>
      <t xml:space="preserve">、</t>
    </r>
    <r>
      <rPr>
        <sz val="9"/>
        <rFont val="Meiryo UI"/>
        <family val="0"/>
        <charset val="1"/>
      </rPr>
      <t xml:space="preserve">No.60</t>
    </r>
  </si>
  <si>
    <r>
      <rPr>
        <sz val="9"/>
        <rFont val="Meiryo UI"/>
        <family val="0"/>
        <charset val="1"/>
      </rPr>
      <t xml:space="preserve">1-3 </t>
    </r>
    <r>
      <rPr>
        <sz val="9"/>
        <rFont val="Noto Sans CJK SC"/>
        <family val="2"/>
      </rPr>
      <t xml:space="preserve">冒頭</t>
    </r>
  </si>
  <si>
    <r>
      <rPr>
        <sz val="9"/>
        <rFont val="Noto Sans CJK SC"/>
        <family val="2"/>
      </rPr>
      <t xml:space="preserve">本事業の対象範囲：</t>
    </r>
    <r>
      <rPr>
        <sz val="9"/>
        <rFont val="Meiryo UI"/>
        <family val="0"/>
        <charset val="1"/>
      </rPr>
      <t xml:space="preserve">G</t>
    </r>
    <r>
      <rPr>
        <sz val="9"/>
        <rFont val="Noto Sans CJK SC"/>
        <family val="2"/>
      </rPr>
      <t xml:space="preserve">ライン全体の流れと人の配置</t>
    </r>
  </si>
  <si>
    <t xml:space="preserve">pptx v3 p.2</t>
  </si>
  <si>
    <r>
      <rPr>
        <sz val="9"/>
        <rFont val="Noto Sans CJK SC"/>
        <family val="2"/>
      </rPr>
      <t xml:space="preserve">人数（製袋室</t>
    </r>
    <r>
      <rPr>
        <sz val="9"/>
        <rFont val="Meiryo UI"/>
        <family val="0"/>
        <charset val="1"/>
      </rPr>
      <t xml:space="preserve">2</t>
    </r>
    <r>
      <rPr>
        <sz val="9"/>
        <rFont val="Noto Sans CJK SC"/>
        <family val="2"/>
      </rPr>
      <t xml:space="preserve">名・充填</t>
    </r>
    <r>
      <rPr>
        <sz val="9"/>
        <rFont val="Meiryo UI"/>
        <family val="0"/>
        <charset val="1"/>
      </rPr>
      <t xml:space="preserve">1</t>
    </r>
    <r>
      <rPr>
        <sz val="9"/>
        <rFont val="Noto Sans CJK SC"/>
        <family val="2"/>
      </rPr>
      <t xml:space="preserve">名・包装</t>
    </r>
    <r>
      <rPr>
        <sz val="9"/>
        <rFont val="Meiryo UI"/>
        <family val="0"/>
        <charset val="1"/>
      </rPr>
      <t xml:space="preserve">2</t>
    </r>
    <r>
      <rPr>
        <sz val="9"/>
        <rFont val="Noto Sans CJK SC"/>
        <family val="2"/>
      </rPr>
      <t xml:space="preserve">〜</t>
    </r>
    <r>
      <rPr>
        <sz val="9"/>
        <rFont val="Meiryo UI"/>
        <family val="0"/>
        <charset val="1"/>
      </rPr>
      <t xml:space="preserve">3</t>
    </r>
    <r>
      <rPr>
        <sz val="9"/>
        <rFont val="Noto Sans CJK SC"/>
        <family val="2"/>
      </rPr>
      <t xml:space="preserve">名）、稼働</t>
    </r>
    <r>
      <rPr>
        <sz val="9"/>
        <rFont val="Meiryo UI"/>
        <family val="0"/>
        <charset val="1"/>
      </rPr>
      <t xml:space="preserve">8:30</t>
    </r>
    <r>
      <rPr>
        <sz val="9"/>
        <rFont val="Noto Sans CJK SC"/>
        <family val="2"/>
      </rPr>
      <t xml:space="preserve">〜</t>
    </r>
    <r>
      <rPr>
        <sz val="9"/>
        <rFont val="Meiryo UI"/>
        <family val="0"/>
        <charset val="1"/>
      </rPr>
      <t xml:space="preserve">26:00</t>
    </r>
    <r>
      <rPr>
        <sz val="9"/>
        <rFont val="Noto Sans CJK SC"/>
        <family val="2"/>
      </rPr>
      <t xml:space="preserve">、シフト、</t>
    </r>
    <r>
      <rPr>
        <sz val="9"/>
        <rFont val="Meiryo UI"/>
        <family val="0"/>
        <charset val="1"/>
      </rPr>
      <t xml:space="preserve">15</t>
    </r>
    <r>
      <rPr>
        <sz val="9"/>
        <rFont val="Noto Sans CJK SC"/>
        <family val="2"/>
      </rPr>
      <t xml:space="preserve">万／</t>
    </r>
    <r>
      <rPr>
        <sz val="9"/>
        <rFont val="Meiryo UI"/>
        <family val="0"/>
        <charset val="1"/>
      </rPr>
      <t xml:space="preserve">10</t>
    </r>
    <r>
      <rPr>
        <sz val="9"/>
        <rFont val="Noto Sans CJK SC"/>
        <family val="2"/>
      </rPr>
      <t xml:space="preserve">万袋、</t>
    </r>
    <r>
      <rPr>
        <sz val="9"/>
        <rFont val="Meiryo UI"/>
        <family val="0"/>
        <charset val="1"/>
      </rPr>
      <t xml:space="preserve">150</t>
    </r>
    <r>
      <rPr>
        <sz val="9"/>
        <rFont val="Noto Sans CJK SC"/>
        <family val="2"/>
      </rPr>
      <t xml:space="preserve">袋／分、売上約</t>
    </r>
    <r>
      <rPr>
        <sz val="9"/>
        <rFont val="Meiryo UI"/>
        <family val="0"/>
        <charset val="1"/>
      </rPr>
      <t xml:space="preserve">14</t>
    </r>
    <r>
      <rPr>
        <sz val="9"/>
        <rFont val="Noto Sans CJK SC"/>
        <family val="2"/>
      </rPr>
      <t xml:space="preserve">億円・約</t>
    </r>
    <r>
      <rPr>
        <sz val="9"/>
        <rFont val="Meiryo UI"/>
        <family val="0"/>
        <charset val="1"/>
      </rPr>
      <t xml:space="preserve">13%</t>
    </r>
    <r>
      <rPr>
        <sz val="9"/>
        <rFont val="Noto Sans CJK SC"/>
        <family val="2"/>
      </rPr>
      <t xml:space="preserve">は本文と一致。創出時間の再配分先が</t>
    </r>
    <r>
      <rPr>
        <sz val="9"/>
        <rFont val="Meiryo UI"/>
        <family val="0"/>
        <charset val="1"/>
      </rPr>
      <t xml:space="preserve">3</t>
    </r>
    <r>
      <rPr>
        <sz val="9"/>
        <rFont val="Noto Sans CJK SC"/>
        <family val="2"/>
      </rPr>
      <t xml:space="preserve">章（</t>
    </r>
    <r>
      <rPr>
        <sz val="9"/>
        <rFont val="Meiryo UI"/>
        <family val="0"/>
        <charset val="1"/>
      </rPr>
      <t xml:space="preserve">5</t>
    </r>
    <r>
      <rPr>
        <sz val="9"/>
        <rFont val="Noto Sans CJK SC"/>
        <family val="2"/>
      </rPr>
      <t xml:space="preserve">領域）と一部不一致。</t>
    </r>
  </si>
  <si>
    <t xml:space="preserve">No.44</t>
  </si>
  <si>
    <t xml:space="preserve">1-3 ①</t>
  </si>
  <si>
    <r>
      <rPr>
        <sz val="9"/>
        <rFont val="Noto Sans CJK SC"/>
        <family val="2"/>
      </rPr>
      <t xml:space="preserve">投入作業のサイクル：</t>
    </r>
    <r>
      <rPr>
        <sz val="9"/>
        <rFont val="Meiryo UI"/>
        <family val="0"/>
        <charset val="1"/>
      </rPr>
      <t xml:space="preserve">3</t>
    </r>
    <r>
      <rPr>
        <sz val="9"/>
        <rFont val="Noto Sans CJK SC"/>
        <family val="2"/>
      </rPr>
      <t xml:space="preserve">分詰めて</t>
    </r>
    <r>
      <rPr>
        <sz val="9"/>
        <rFont val="Meiryo UI"/>
        <family val="0"/>
        <charset val="1"/>
      </rPr>
      <t xml:space="preserve">5</t>
    </r>
    <r>
      <rPr>
        <sz val="9"/>
        <rFont val="Noto Sans CJK SC"/>
        <family val="2"/>
      </rPr>
      <t xml:space="preserve">分で空、の繰り返し</t>
    </r>
  </si>
  <si>
    <t xml:space="preserve">pptx v3 p.6</t>
  </si>
  <si>
    <r>
      <rPr>
        <sz val="9"/>
        <rFont val="Meiryo UI"/>
        <family val="0"/>
        <charset val="1"/>
      </rPr>
      <t xml:space="preserve">131</t>
    </r>
    <r>
      <rPr>
        <sz val="9"/>
        <rFont val="Noto Sans CJK SC"/>
        <family val="2"/>
      </rPr>
      <t xml:space="preserve">回、</t>
    </r>
    <r>
      <rPr>
        <sz val="9"/>
        <rFont val="Meiryo UI"/>
        <family val="0"/>
        <charset val="1"/>
      </rPr>
      <t xml:space="preserve">150</t>
    </r>
    <r>
      <rPr>
        <sz val="9"/>
        <rFont val="Noto Sans CJK SC"/>
        <family val="2"/>
      </rPr>
      <t xml:space="preserve">／</t>
    </r>
    <r>
      <rPr>
        <sz val="9"/>
        <rFont val="Meiryo UI"/>
        <family val="0"/>
        <charset val="1"/>
      </rPr>
      <t xml:space="preserve">480</t>
    </r>
    <r>
      <rPr>
        <sz val="9"/>
        <rFont val="Noto Sans CJK SC"/>
        <family val="2"/>
      </rPr>
      <t xml:space="preserve">／</t>
    </r>
    <r>
      <rPr>
        <sz val="9"/>
        <rFont val="Meiryo UI"/>
        <family val="0"/>
        <charset val="1"/>
      </rPr>
      <t xml:space="preserve">420</t>
    </r>
    <r>
      <rPr>
        <sz val="9"/>
        <rFont val="Noto Sans CJK SC"/>
        <family val="2"/>
      </rPr>
      <t xml:space="preserve">分、</t>
    </r>
    <r>
      <rPr>
        <sz val="9"/>
        <rFont val="Meiryo UI"/>
        <family val="0"/>
        <charset val="1"/>
      </rPr>
      <t xml:space="preserve">250</t>
    </r>
    <r>
      <rPr>
        <sz val="9"/>
        <rFont val="Noto Sans CJK SC"/>
        <family val="2"/>
      </rPr>
      <t xml:space="preserve">／</t>
    </r>
    <r>
      <rPr>
        <sz val="9"/>
        <rFont val="Meiryo UI"/>
        <family val="0"/>
        <charset val="1"/>
      </rPr>
      <t xml:space="preserve">168</t>
    </r>
    <r>
      <rPr>
        <sz val="9"/>
        <rFont val="Noto Sans CJK SC"/>
        <family val="2"/>
      </rPr>
      <t xml:space="preserve">／</t>
    </r>
    <r>
      <rPr>
        <sz val="9"/>
        <rFont val="Meiryo UI"/>
        <family val="0"/>
        <charset val="1"/>
      </rPr>
      <t xml:space="preserve">209</t>
    </r>
    <r>
      <rPr>
        <sz val="9"/>
        <rFont val="Noto Sans CJK SC"/>
        <family val="2"/>
      </rPr>
      <t xml:space="preserve">分、</t>
    </r>
    <r>
      <rPr>
        <sz val="9"/>
        <rFont val="Meiryo UI"/>
        <family val="0"/>
        <charset val="1"/>
      </rPr>
      <t xml:space="preserve">18</t>
    </r>
    <r>
      <rPr>
        <sz val="9"/>
        <rFont val="Noto Sans CJK SC"/>
        <family val="2"/>
      </rPr>
      <t xml:space="preserve">／</t>
    </r>
    <r>
      <rPr>
        <sz val="9"/>
        <rFont val="Meiryo UI"/>
        <family val="0"/>
        <charset val="1"/>
      </rPr>
      <t xml:space="preserve">12</t>
    </r>
    <r>
      <rPr>
        <sz val="9"/>
        <rFont val="Noto Sans CJK SC"/>
        <family val="2"/>
      </rPr>
      <t xml:space="preserve">分、</t>
    </r>
    <r>
      <rPr>
        <sz val="9"/>
        <rFont val="Meiryo UI"/>
        <family val="0"/>
        <charset val="1"/>
      </rPr>
      <t xml:space="preserve">799</t>
    </r>
    <r>
      <rPr>
        <sz val="9"/>
        <rFont val="Noto Sans CJK SC"/>
        <family val="2"/>
      </rPr>
      <t xml:space="preserve">分、</t>
    </r>
    <r>
      <rPr>
        <sz val="9"/>
        <rFont val="Meiryo UI"/>
        <family val="0"/>
        <charset val="1"/>
      </rPr>
      <t xml:space="preserve">0.78</t>
    </r>
    <r>
      <rPr>
        <sz val="9"/>
        <rFont val="Noto Sans CJK SC"/>
        <family val="2"/>
      </rPr>
      <t xml:space="preserve">は本文・別紙</t>
    </r>
    <r>
      <rPr>
        <sz val="9"/>
        <rFont val="Meiryo UI"/>
        <family val="0"/>
        <charset val="1"/>
      </rPr>
      <t xml:space="preserve">1</t>
    </r>
    <r>
      <rPr>
        <sz val="9"/>
        <rFont val="Noto Sans CJK SC"/>
        <family val="2"/>
      </rPr>
      <t xml:space="preserve">と一致。「約</t>
    </r>
    <r>
      <rPr>
        <sz val="9"/>
        <rFont val="Meiryo UI"/>
        <family val="0"/>
        <charset val="1"/>
      </rPr>
      <t xml:space="preserve">2</t>
    </r>
    <r>
      <rPr>
        <sz val="9"/>
        <rFont val="Noto Sans CJK SC"/>
        <family val="2"/>
      </rPr>
      <t xml:space="preserve">時間分」「</t>
    </r>
    <r>
      <rPr>
        <sz val="9"/>
        <rFont val="Meiryo UI"/>
        <family val="0"/>
        <charset val="1"/>
      </rPr>
      <t xml:space="preserve">4</t>
    </r>
    <r>
      <rPr>
        <sz val="9"/>
        <rFont val="Noto Sans CJK SC"/>
        <family val="2"/>
      </rPr>
      <t xml:space="preserve">時間で</t>
    </r>
    <r>
      <rPr>
        <sz val="9"/>
        <rFont val="Meiryo UI"/>
        <family val="0"/>
        <charset val="1"/>
      </rPr>
      <t xml:space="preserve">2</t>
    </r>
    <r>
      <rPr>
        <sz val="9"/>
        <rFont val="Noto Sans CJK SC"/>
        <family val="2"/>
      </rPr>
      <t xml:space="preserve">回」が入替</t>
    </r>
    <r>
      <rPr>
        <sz val="9"/>
        <rFont val="Meiryo UI"/>
        <family val="0"/>
        <charset val="1"/>
      </rPr>
      <t xml:space="preserve">6</t>
    </r>
    <r>
      <rPr>
        <sz val="9"/>
        <rFont val="Noto Sans CJK SC"/>
        <family val="2"/>
      </rPr>
      <t xml:space="preserve">回／</t>
    </r>
    <r>
      <rPr>
        <sz val="9"/>
        <rFont val="Meiryo UI"/>
        <family val="0"/>
        <charset val="1"/>
      </rPr>
      <t xml:space="preserve">4</t>
    </r>
    <r>
      <rPr>
        <sz val="9"/>
        <rFont val="Noto Sans CJK SC"/>
        <family val="2"/>
      </rPr>
      <t xml:space="preserve">回の計算と不一致。「</t>
    </r>
    <r>
      <rPr>
        <sz val="9"/>
        <rFont val="Meiryo UI"/>
        <family val="0"/>
        <charset val="1"/>
      </rPr>
      <t xml:space="preserve">1,050</t>
    </r>
    <r>
      <rPr>
        <sz val="9"/>
        <rFont val="Noto Sans CJK SC"/>
        <family val="2"/>
      </rPr>
      <t xml:space="preserve">分→</t>
    </r>
    <r>
      <rPr>
        <sz val="9"/>
        <rFont val="Meiryo UI"/>
        <family val="0"/>
        <charset val="1"/>
      </rPr>
      <t xml:space="preserve">251</t>
    </r>
    <r>
      <rPr>
        <sz val="9"/>
        <rFont val="Noto Sans CJK SC"/>
        <family val="2"/>
      </rPr>
      <t xml:space="preserve">分／日」の改行崩れ（描画時）。</t>
    </r>
  </si>
  <si>
    <r>
      <rPr>
        <sz val="9"/>
        <rFont val="Meiryo UI"/>
        <family val="0"/>
        <charset val="1"/>
      </rPr>
      <t xml:space="preserve">No.12</t>
    </r>
    <r>
      <rPr>
        <sz val="9"/>
        <rFont val="Noto Sans CJK SC"/>
        <family val="2"/>
      </rPr>
      <t xml:space="preserve">、</t>
    </r>
    <r>
      <rPr>
        <sz val="9"/>
        <rFont val="Meiryo UI"/>
        <family val="0"/>
        <charset val="1"/>
      </rPr>
      <t xml:space="preserve">No.60</t>
    </r>
  </si>
  <si>
    <t xml:space="preserve">2-1 ①</t>
  </si>
  <si>
    <r>
      <rPr>
        <sz val="9"/>
        <rFont val="Noto Sans CJK SC"/>
        <family val="2"/>
      </rPr>
      <t xml:space="preserve">パウチ供給工程のビフォーアフター（</t>
    </r>
    <r>
      <rPr>
        <sz val="9"/>
        <rFont val="Meiryo UI"/>
        <family val="0"/>
        <charset val="1"/>
      </rPr>
      <t xml:space="preserve">1</t>
    </r>
    <r>
      <rPr>
        <sz val="9"/>
        <rFont val="Noto Sans CJK SC"/>
        <family val="2"/>
      </rPr>
      <t xml:space="preserve">日あたりの人手作業時間）</t>
    </r>
  </si>
  <si>
    <t xml:space="preserve">pptx v3 p.7</t>
  </si>
  <si>
    <r>
      <rPr>
        <sz val="9"/>
        <rFont val="Noto Sans CJK SC"/>
        <family val="2"/>
      </rPr>
      <t xml:space="preserve">各工程の分数は別紙</t>
    </r>
    <r>
      <rPr>
        <sz val="9"/>
        <rFont val="Meiryo UI"/>
        <family val="0"/>
        <charset val="1"/>
      </rPr>
      <t xml:space="preserve">1</t>
    </r>
    <r>
      <rPr>
        <sz val="9"/>
        <rFont val="Noto Sans CJK SC"/>
        <family val="2"/>
      </rPr>
      <t xml:space="preserve">と一致。④ほぐし「無くなる」が、導入後の詰め（ほぐし込み）と矛盾。</t>
    </r>
    <r>
      <rPr>
        <sz val="9"/>
        <rFont val="Meiryo UI"/>
        <family val="0"/>
        <charset val="1"/>
      </rPr>
      <t xml:space="preserve">2.4</t>
    </r>
    <r>
      <rPr>
        <sz val="9"/>
        <rFont val="Noto Sans CJK SC"/>
        <family val="2"/>
      </rPr>
      <t xml:space="preserve">分</t>
    </r>
    <r>
      <rPr>
        <sz val="9"/>
        <rFont val="Meiryo UI"/>
        <family val="0"/>
        <charset val="1"/>
      </rPr>
      <t xml:space="preserve">×131</t>
    </r>
    <r>
      <rPr>
        <sz val="9"/>
        <rFont val="Noto Sans CJK SC"/>
        <family val="2"/>
      </rPr>
      <t xml:space="preserve">回の表記。</t>
    </r>
  </si>
  <si>
    <r>
      <rPr>
        <sz val="9"/>
        <rFont val="Meiryo UI"/>
        <family val="0"/>
        <charset val="1"/>
      </rPr>
      <t xml:space="preserve">No.5</t>
    </r>
    <r>
      <rPr>
        <sz val="9"/>
        <rFont val="Noto Sans CJK SC"/>
        <family val="2"/>
      </rPr>
      <t xml:space="preserve">、</t>
    </r>
    <r>
      <rPr>
        <sz val="9"/>
        <rFont val="Meiryo UI"/>
        <family val="0"/>
        <charset val="1"/>
      </rPr>
      <t xml:space="preserve">No.34</t>
    </r>
  </si>
  <si>
    <t xml:space="preserve">2-1 ②</t>
  </si>
  <si>
    <t xml:space="preserve">製袋室のレイアウト ビフォーアフター</t>
  </si>
  <si>
    <t xml:space="preserve">pptx v3 p.4</t>
  </si>
  <si>
    <r>
      <rPr>
        <sz val="9"/>
        <rFont val="Noto Sans CJK SC"/>
        <family val="2"/>
      </rPr>
      <t xml:space="preserve">記号</t>
    </r>
    <r>
      <rPr>
        <sz val="9"/>
        <rFont val="Meiryo UI"/>
        <family val="0"/>
        <charset val="1"/>
      </rPr>
      <t xml:space="preserve">a</t>
    </r>
    <r>
      <rPr>
        <sz val="9"/>
        <rFont val="Noto Sans CJK SC"/>
        <family val="2"/>
      </rPr>
      <t xml:space="preserve">〜</t>
    </r>
    <r>
      <rPr>
        <sz val="9"/>
        <rFont val="Meiryo UI"/>
        <family val="0"/>
        <charset val="1"/>
      </rPr>
      <t xml:space="preserve">i</t>
    </r>
    <r>
      <rPr>
        <sz val="9"/>
        <rFont val="Noto Sans CJK SC"/>
        <family val="2"/>
      </rPr>
      <t xml:space="preserve">、工程番号（②③⑤）は本文と一致。「</t>
    </r>
    <r>
      <rPr>
        <sz val="9"/>
        <rFont val="Meiryo UI"/>
        <family val="0"/>
        <charset val="1"/>
      </rPr>
      <t xml:space="preserve">h.</t>
    </r>
    <r>
      <rPr>
        <sz val="9"/>
        <rFont val="Noto Sans CJK SC"/>
        <family val="2"/>
      </rPr>
      <t xml:space="preserve">専用パレット」の文字とパレット図形の重なり、凡例の改行（描画時）。</t>
    </r>
  </si>
  <si>
    <t xml:space="preserve">No.60</t>
  </si>
  <si>
    <t xml:space="preserve">2-1 ③</t>
  </si>
  <si>
    <t xml:space="preserve">シフト別の人の配置と作業時間の変化</t>
  </si>
  <si>
    <t xml:space="preserve">pptx v3 p.8</t>
  </si>
  <si>
    <r>
      <rPr>
        <sz val="9"/>
        <rFont val="Meiryo UI"/>
        <family val="0"/>
        <charset val="1"/>
      </rPr>
      <t xml:space="preserve">150</t>
    </r>
    <r>
      <rPr>
        <sz val="9"/>
        <rFont val="Noto Sans CJK SC"/>
        <family val="2"/>
      </rPr>
      <t xml:space="preserve">／</t>
    </r>
    <r>
      <rPr>
        <sz val="9"/>
        <rFont val="Meiryo UI"/>
        <family val="0"/>
        <charset val="1"/>
      </rPr>
      <t xml:space="preserve">480</t>
    </r>
    <r>
      <rPr>
        <sz val="9"/>
        <rFont val="Noto Sans CJK SC"/>
        <family val="2"/>
      </rPr>
      <t xml:space="preserve">／</t>
    </r>
    <r>
      <rPr>
        <sz val="9"/>
        <rFont val="Meiryo UI"/>
        <family val="0"/>
        <charset val="1"/>
      </rPr>
      <t xml:space="preserve">420</t>
    </r>
    <r>
      <rPr>
        <sz val="9"/>
        <rFont val="Noto Sans CJK SC"/>
        <family val="2"/>
      </rPr>
      <t xml:space="preserve">、</t>
    </r>
    <r>
      <rPr>
        <sz val="9"/>
        <rFont val="Meiryo UI"/>
        <family val="0"/>
        <charset val="1"/>
      </rPr>
      <t xml:space="preserve">100</t>
    </r>
    <r>
      <rPr>
        <sz val="9"/>
        <rFont val="Noto Sans CJK SC"/>
        <family val="2"/>
      </rPr>
      <t xml:space="preserve">／</t>
    </r>
    <r>
      <rPr>
        <sz val="9"/>
        <rFont val="Meiryo UI"/>
        <family val="0"/>
        <charset val="1"/>
      </rPr>
      <t xml:space="preserve">18</t>
    </r>
    <r>
      <rPr>
        <sz val="9"/>
        <rFont val="Noto Sans CJK SC"/>
        <family val="2"/>
      </rPr>
      <t xml:space="preserve">、</t>
    </r>
    <r>
      <rPr>
        <sz val="9"/>
        <rFont val="Meiryo UI"/>
        <family val="0"/>
        <charset val="1"/>
      </rPr>
      <t xml:space="preserve">380</t>
    </r>
    <r>
      <rPr>
        <sz val="9"/>
        <rFont val="Noto Sans CJK SC"/>
        <family val="2"/>
      </rPr>
      <t xml:space="preserve">／</t>
    </r>
    <r>
      <rPr>
        <sz val="9"/>
        <rFont val="Meiryo UI"/>
        <family val="0"/>
        <charset val="1"/>
      </rPr>
      <t xml:space="preserve">462</t>
    </r>
    <r>
      <rPr>
        <sz val="9"/>
        <rFont val="Noto Sans CJK SC"/>
        <family val="2"/>
      </rPr>
      <t xml:space="preserve">、</t>
    </r>
    <r>
      <rPr>
        <sz val="9"/>
        <rFont val="Meiryo UI"/>
        <family val="0"/>
        <charset val="1"/>
      </rPr>
      <t xml:space="preserve">288</t>
    </r>
    <r>
      <rPr>
        <sz val="9"/>
        <rFont val="Noto Sans CJK SC"/>
        <family val="2"/>
      </rPr>
      <t xml:space="preserve">／</t>
    </r>
    <r>
      <rPr>
        <sz val="9"/>
        <rFont val="Meiryo UI"/>
        <family val="0"/>
        <charset val="1"/>
      </rPr>
      <t xml:space="preserve">214</t>
    </r>
    <r>
      <rPr>
        <sz val="9"/>
        <rFont val="Noto Sans CJK SC"/>
        <family val="2"/>
      </rPr>
      <t xml:space="preserve">、</t>
    </r>
    <r>
      <rPr>
        <sz val="9"/>
        <rFont val="Meiryo UI"/>
        <family val="0"/>
        <charset val="1"/>
      </rPr>
      <t xml:space="preserve">762</t>
    </r>
    <r>
      <rPr>
        <sz val="9"/>
        <rFont val="Noto Sans CJK SC"/>
        <family val="2"/>
      </rPr>
      <t xml:space="preserve">／</t>
    </r>
    <r>
      <rPr>
        <sz val="9"/>
        <rFont val="Meiryo UI"/>
        <family val="0"/>
        <charset val="1"/>
      </rPr>
      <t xml:space="preserve">836</t>
    </r>
    <r>
      <rPr>
        <sz val="9"/>
        <rFont val="Noto Sans CJK SC"/>
        <family val="2"/>
      </rPr>
      <t xml:space="preserve">は本文と一致。遅番の現状担当「派遣</t>
    </r>
    <r>
      <rPr>
        <sz val="9"/>
        <rFont val="Meiryo UI"/>
        <family val="0"/>
        <charset val="1"/>
      </rPr>
      <t xml:space="preserve">1</t>
    </r>
    <r>
      <rPr>
        <sz val="9"/>
        <rFont val="Noto Sans CJK SC"/>
        <family val="2"/>
      </rPr>
      <t xml:space="preserve">名」の表現、</t>
    </r>
    <r>
      <rPr>
        <sz val="9"/>
        <rFont val="Meiryo UI"/>
        <family val="0"/>
        <charset val="1"/>
      </rPr>
      <t xml:space="preserve">380</t>
    </r>
    <r>
      <rPr>
        <sz val="9"/>
        <rFont val="Noto Sans CJK SC"/>
        <family val="2"/>
      </rPr>
      <t xml:space="preserve">／</t>
    </r>
    <r>
      <rPr>
        <sz val="9"/>
        <rFont val="Meiryo UI"/>
        <family val="0"/>
        <charset val="1"/>
      </rPr>
      <t xml:space="preserve">462</t>
    </r>
    <r>
      <rPr>
        <sz val="9"/>
        <rFont val="Noto Sans CJK SC"/>
        <family val="2"/>
      </rPr>
      <t xml:space="preserve">分の定義、合計行と注記の重なり（描画時）。</t>
    </r>
  </si>
  <si>
    <r>
      <rPr>
        <sz val="9"/>
        <rFont val="Meiryo UI"/>
        <family val="0"/>
        <charset val="1"/>
      </rPr>
      <t xml:space="preserve">No.21</t>
    </r>
    <r>
      <rPr>
        <sz val="9"/>
        <rFont val="Noto Sans CJK SC"/>
        <family val="2"/>
      </rPr>
      <t xml:space="preserve">、</t>
    </r>
    <r>
      <rPr>
        <sz val="9"/>
        <rFont val="Meiryo UI"/>
        <family val="0"/>
        <charset val="1"/>
      </rPr>
      <t xml:space="preserve">No.40</t>
    </r>
    <r>
      <rPr>
        <sz val="9"/>
        <rFont val="Noto Sans CJK SC"/>
        <family val="2"/>
      </rPr>
      <t xml:space="preserve">、</t>
    </r>
    <r>
      <rPr>
        <sz val="9"/>
        <rFont val="Meiryo UI"/>
        <family val="0"/>
        <charset val="1"/>
      </rPr>
      <t xml:space="preserve">No.60</t>
    </r>
  </si>
  <si>
    <r>
      <rPr>
        <sz val="9"/>
        <rFont val="Meiryo UI"/>
        <family val="0"/>
        <charset val="1"/>
      </rPr>
      <t xml:space="preserve">5</t>
    </r>
    <r>
      <rPr>
        <sz val="9"/>
        <rFont val="Noto Sans CJK SC"/>
        <family val="2"/>
      </rPr>
      <t xml:space="preserve">章①（図がある場合）</t>
    </r>
  </si>
  <si>
    <t xml:space="preserve">社内の実施体制</t>
  </si>
  <si>
    <t xml:space="preserve">氏名・役職が表と一致しているか、代表者の位置付け。</t>
  </si>
  <si>
    <t xml:space="preserve">No.22</t>
  </si>
  <si>
    <t xml:space="preserve">末尾（別紙）</t>
  </si>
  <si>
    <t xml:space="preserve">補助事業のスケジュール</t>
  </si>
  <si>
    <r>
      <rPr>
        <sz val="9"/>
        <rFont val="Noto Sans CJK SC"/>
        <family val="2"/>
      </rPr>
      <t xml:space="preserve">スケジュール</t>
    </r>
    <r>
      <rPr>
        <sz val="9"/>
        <rFont val="Meiryo UI"/>
        <family val="0"/>
        <charset val="1"/>
      </rPr>
      <t xml:space="preserve">.xlsx</t>
    </r>
  </si>
  <si>
    <t xml:space="preserve">未確認（最重要）</t>
  </si>
  <si>
    <r>
      <rPr>
        <sz val="9"/>
        <rFont val="Noto Sans CJK SC"/>
        <family val="2"/>
      </rPr>
      <t xml:space="preserve">旧版に他社案件の内容（㈱</t>
    </r>
    <r>
      <rPr>
        <sz val="9"/>
        <rFont val="Meiryo UI"/>
        <family val="0"/>
        <charset val="1"/>
      </rPr>
      <t xml:space="preserve">HOPEE JAPAN</t>
    </r>
    <r>
      <rPr>
        <sz val="9"/>
        <rFont val="Noto Sans CJK SC"/>
        <family val="2"/>
      </rPr>
      <t xml:space="preserve">等）が残っている。更新版（</t>
    </r>
    <r>
      <rPr>
        <sz val="9"/>
        <rFont val="Meiryo UI"/>
        <family val="0"/>
        <charset val="1"/>
      </rPr>
      <t xml:space="preserve">2026/10/01</t>
    </r>
    <r>
      <rPr>
        <sz val="9"/>
        <rFont val="Noto Sans CJK SC"/>
        <family val="2"/>
      </rPr>
      <t xml:space="preserve">版）から作成されているかを必ず確認。</t>
    </r>
  </si>
  <si>
    <t xml:space="preserve">No.6</t>
  </si>
  <si>
    <t xml:space="preserve">（貼付していれば）</t>
  </si>
  <si>
    <r>
      <rPr>
        <sz val="9"/>
        <rFont val="Noto Sans CJK SC"/>
        <family val="2"/>
      </rPr>
      <t xml:space="preserve">各機械の役割（</t>
    </r>
    <r>
      <rPr>
        <sz val="9"/>
        <rFont val="Meiryo UI"/>
        <family val="0"/>
        <charset val="1"/>
      </rPr>
      <t xml:space="preserve">pptx p.5</t>
    </r>
    <r>
      <rPr>
        <sz val="9"/>
        <rFont val="Noto Sans CJK SC"/>
        <family val="2"/>
      </rPr>
      <t xml:space="preserve">）／設備の概要と見積の構成（</t>
    </r>
    <r>
      <rPr>
        <sz val="9"/>
        <rFont val="Meiryo UI"/>
        <family val="0"/>
        <charset val="1"/>
      </rPr>
      <t xml:space="preserve">pptx p.9</t>
    </r>
    <r>
      <rPr>
        <sz val="9"/>
        <rFont val="Noto Sans CJK SC"/>
        <family val="2"/>
      </rPr>
      <t xml:space="preserve">）</t>
    </r>
  </si>
  <si>
    <r>
      <rPr>
        <sz val="9"/>
        <rFont val="Meiryo UI"/>
        <family val="0"/>
        <charset val="1"/>
      </rPr>
      <t xml:space="preserve">pptx v3 p.5</t>
    </r>
    <r>
      <rPr>
        <sz val="9"/>
        <rFont val="Noto Sans CJK SC"/>
        <family val="2"/>
      </rPr>
      <t xml:space="preserve">・</t>
    </r>
    <r>
      <rPr>
        <sz val="9"/>
        <rFont val="Meiryo UI"/>
        <family val="0"/>
        <charset val="1"/>
      </rPr>
      <t xml:space="preserve">p.9</t>
    </r>
  </si>
  <si>
    <r>
      <rPr>
        <sz val="9"/>
        <rFont val="Noto Sans CJK SC"/>
        <family val="2"/>
      </rPr>
      <t xml:space="preserve">本文に同等の表があるため貼付していない想定。</t>
    </r>
    <r>
      <rPr>
        <sz val="9"/>
        <rFont val="Meiryo UI"/>
        <family val="0"/>
        <charset val="1"/>
      </rPr>
      <t xml:space="preserve">p.9</t>
    </r>
    <r>
      <rPr>
        <sz val="9"/>
        <rFont val="Noto Sans CJK SC"/>
        <family val="2"/>
      </rPr>
      <t xml:space="preserve">を貼付している場合は「見積は値引き行の削除と名称の修正を依頼中」等の社内向けの記載が残らないよう注意。</t>
    </r>
  </si>
  <si>
    <t xml:space="preserve">No.17</t>
  </si>
  <si>
    <t xml:space="preserve">その３（別紙２）</t>
  </si>
  <si>
    <t xml:space="preserve">省力化業務プロセス図（自動作成）</t>
  </si>
  <si>
    <t xml:space="preserve">その３（別紙１）</t>
  </si>
  <si>
    <t xml:space="preserve">テキストで確認済</t>
  </si>
  <si>
    <r>
      <rPr>
        <sz val="9"/>
        <rFont val="Noto Sans CJK SC"/>
        <family val="2"/>
      </rPr>
      <t xml:space="preserve">工程名・分数・説明文は別紙</t>
    </r>
    <r>
      <rPr>
        <sz val="9"/>
        <rFont val="Meiryo UI"/>
        <family val="0"/>
        <charset val="1"/>
      </rPr>
      <t xml:space="preserve">1</t>
    </r>
    <r>
      <rPr>
        <sz val="9"/>
        <rFont val="Noto Sans CJK SC"/>
        <family val="2"/>
      </rPr>
      <t xml:space="preserve">・本文と一致。「約</t>
    </r>
    <r>
      <rPr>
        <sz val="9"/>
        <rFont val="Meiryo UI"/>
        <family val="0"/>
        <charset val="1"/>
      </rPr>
      <t xml:space="preserve">2</t>
    </r>
    <r>
      <rPr>
        <sz val="9"/>
        <rFont val="Noto Sans CJK SC"/>
        <family val="2"/>
      </rPr>
      <t xml:space="preserve">時間に</t>
    </r>
    <r>
      <rPr>
        <sz val="9"/>
        <rFont val="Meiryo UI"/>
        <family val="0"/>
        <charset val="1"/>
      </rPr>
      <t xml:space="preserve">1</t>
    </r>
    <r>
      <rPr>
        <sz val="9"/>
        <rFont val="Noto Sans CJK SC"/>
        <family val="2"/>
      </rPr>
      <t xml:space="preserve">回」の表現のみ。</t>
    </r>
  </si>
  <si>
    <t xml:space="preserve">上記以外に貼付された図・写真</t>
  </si>
  <si>
    <t xml:space="preserve">本体ファイル取得後に全図を確認。</t>
  </si>
</sst>
</file>

<file path=xl/styles.xml><?xml version="1.0" encoding="utf-8"?>
<styleSheet xmlns="http://schemas.openxmlformats.org/spreadsheetml/2006/main">
  <numFmts count="10">
    <numFmt numFmtId="164" formatCode="General"/>
    <numFmt numFmtId="165" formatCode="General"/>
    <numFmt numFmtId="166" formatCode="#,##0"/>
    <numFmt numFmtId="167" formatCode="0.0"/>
    <numFmt numFmtId="168" formatCode="0.00"/>
    <numFmt numFmtId="169" formatCode="0.00%"/>
    <numFmt numFmtId="170" formatCode="0%"/>
    <numFmt numFmtId="171" formatCode="#,##0.00"/>
    <numFmt numFmtId="172" formatCode="0.0%"/>
    <numFmt numFmtId="173"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4E5F"/>
      <name val="Meiryo UI"/>
      <family val="2"/>
    </font>
    <font>
      <b val="true"/>
      <sz val="10"/>
      <color rgb="FF1F4E5F"/>
      <name val="Meiryo UI"/>
      <family val="2"/>
    </font>
    <font>
      <b val="true"/>
      <sz val="10"/>
      <color rgb="FF1F4E5F"/>
      <name val="Meiryo UI"/>
      <family val="0"/>
      <charset val="1"/>
    </font>
    <font>
      <b val="true"/>
      <sz val="9"/>
      <name val="Meiryo UI"/>
      <family val="0"/>
      <charset val="1"/>
    </font>
    <font>
      <b val="true"/>
      <sz val="9"/>
      <name val="Meiryo UI"/>
      <family val="2"/>
    </font>
    <font>
      <sz val="9"/>
      <name val="Meiryo UI"/>
      <family val="0"/>
      <charset val="1"/>
    </font>
    <font>
      <sz val="9"/>
      <name val="Meiryo UI"/>
      <family val="2"/>
    </font>
    <font>
      <b val="true"/>
      <sz val="9"/>
      <color rgb="FFFFFFFF"/>
      <name val="Meiryo UI"/>
      <family val="2"/>
    </font>
    <font>
      <sz val="8"/>
      <color rgb="FF555555"/>
      <name val="Meiryo UI"/>
      <family val="0"/>
      <charset val="1"/>
    </font>
    <font>
      <sz val="8"/>
      <color rgb="FF555555"/>
      <name val="Meiryo UI"/>
      <family val="2"/>
    </font>
    <font>
      <b val="true"/>
      <sz val="9"/>
      <color rgb="FFFFFFFF"/>
      <name val="Meiryo UI"/>
      <family val="0"/>
      <charset val="1"/>
    </font>
    <font>
      <sz val="9"/>
      <color rgb="FF0000FF"/>
      <name val="Meiryo UI"/>
      <family val="0"/>
      <charset val="1"/>
    </font>
  </fonts>
  <fills count="11">
    <fill>
      <patternFill patternType="none"/>
    </fill>
    <fill>
      <patternFill patternType="gray125"/>
    </fill>
    <fill>
      <patternFill patternType="solid">
        <fgColor rgb="FFDCE9EE"/>
        <bgColor rgb="FFD6EAF8"/>
      </patternFill>
    </fill>
    <fill>
      <patternFill patternType="solid">
        <fgColor rgb="FF1F4E5F"/>
        <bgColor rgb="FF333333"/>
      </patternFill>
    </fill>
    <fill>
      <patternFill patternType="solid">
        <fgColor rgb="FFF8D7DA"/>
        <bgColor rgb="FFEDEDED"/>
      </patternFill>
    </fill>
    <fill>
      <patternFill patternType="solid">
        <fgColor rgb="FFFFF3CD"/>
        <bgColor rgb="FFEDEDED"/>
      </patternFill>
    </fill>
    <fill>
      <patternFill patternType="solid">
        <fgColor rgb="FFEDEDED"/>
        <bgColor rgb="FFE2F0D9"/>
      </patternFill>
    </fill>
    <fill>
      <patternFill patternType="solid">
        <fgColor rgb="FFD6EAF8"/>
        <bgColor rgb="FFDCE9EE"/>
      </patternFill>
    </fill>
    <fill>
      <patternFill patternType="solid">
        <fgColor rgb="FFC6EFCE"/>
        <bgColor rgb="FFE2F0D9"/>
      </patternFill>
    </fill>
    <fill>
      <patternFill patternType="solid">
        <fgColor rgb="FFE2F0D9"/>
        <bgColor rgb="FFEDEDED"/>
      </patternFill>
    </fill>
    <fill>
      <patternFill patternType="solid">
        <fgColor rgb="FFF4B6BC"/>
        <bgColor rgb="FFFF99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6" fontId="15"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15"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8" fontId="15"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9" fontId="15"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70" fontId="15"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71" fontId="15" fillId="0" borderId="1" xfId="0" applyFont="true" applyBorder="true" applyAlignment="true" applyProtection="false">
      <alignment horizontal="general" vertical="top" textRotation="0" wrapText="true" indent="0" shrinkToFit="false"/>
      <protection locked="true" hidden="false"/>
    </xf>
    <xf numFmtId="171" fontId="9" fillId="0" borderId="1" xfId="0" applyFont="true" applyBorder="true" applyAlignment="true" applyProtection="false">
      <alignment horizontal="general" vertical="top" textRotation="0" wrapText="true" indent="0" shrinkToFit="false"/>
      <protection locked="true" hidden="false"/>
    </xf>
    <xf numFmtId="172" fontId="15" fillId="0" borderId="1" xfId="0" applyFont="true" applyBorder="true" applyAlignment="true" applyProtection="false">
      <alignment horizontal="general" vertical="top" textRotation="0" wrapText="true" indent="0" shrinkToFit="false"/>
      <protection locked="true" hidden="false"/>
    </xf>
    <xf numFmtId="172" fontId="9" fillId="0" borderId="1"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center" vertical="top" textRotation="0" wrapText="true" indent="0" shrinkToFit="false"/>
      <protection locked="true" hidden="false"/>
    </xf>
    <xf numFmtId="164" fontId="10" fillId="1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D6EAF8"/>
          <bgColor rgb="FF000000"/>
        </patternFill>
      </fill>
    </dxf>
    <dxf>
      <fill>
        <patternFill patternType="solid">
          <fgColor rgb="FFEDEDED"/>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0000FF"/>
          <bgColor rgb="FF000000"/>
        </patternFill>
      </fill>
    </dxf>
    <dxf>
      <fill>
        <patternFill patternType="solid">
          <fgColor rgb="FFE2F0D9"/>
          <bgColor rgb="FF000000"/>
        </patternFill>
      </fill>
    </dxf>
    <dxf>
      <fill>
        <patternFill patternType="solid">
          <fgColor rgb="FF9C0006"/>
          <bgColor rgb="FF000000"/>
        </patternFill>
      </fill>
    </dxf>
    <dxf>
      <font>
        <name val="Meiryo UI"/>
        <charset val="1"/>
        <family val="0"/>
        <b val="1"/>
        <color rgb="FF9C0006"/>
        <sz val="9"/>
      </font>
      <fill>
        <patternFill>
          <bgColor rgb="FFF8D7DA"/>
        </patternFill>
      </fill>
    </dxf>
    <dxf>
      <fill>
        <patternFill>
          <bgColor rgb="FFE2F0D9"/>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08080"/>
      <rgbColor rgb="FF9999FF"/>
      <rgbColor rgb="FF993366"/>
      <rgbColor rgb="FFFFF3CD"/>
      <rgbColor rgb="FFD6EAF8"/>
      <rgbColor rgb="FF660066"/>
      <rgbColor rgb="FFFF8080"/>
      <rgbColor rgb="FF0066CC"/>
      <rgbColor rgb="FFF8D7DA"/>
      <rgbColor rgb="FF000080"/>
      <rgbColor rgb="FFFF00FF"/>
      <rgbColor rgb="FFFFFF00"/>
      <rgbColor rgb="FF00FFFF"/>
      <rgbColor rgb="FF800080"/>
      <rgbColor rgb="FF800000"/>
      <rgbColor rgb="FF008080"/>
      <rgbColor rgb="FF0000FF"/>
      <rgbColor rgb="FF00CCFF"/>
      <rgbColor rgb="FFDCE9EE"/>
      <rgbColor rgb="FFC6EFCE"/>
      <rgbColor rgb="FFE2F0D9"/>
      <rgbColor rgb="FFEDEDED"/>
      <rgbColor rgb="FFFF99CC"/>
      <rgbColor rgb="FFCC99FF"/>
      <rgbColor rgb="FFF4B6BC"/>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3"/>
    <col collapsed="false" customWidth="true" hidden="false" outlineLevel="0" max="8" min="8" style="0" width="40"/>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c r="D4" s="4"/>
      <c r="E4" s="4"/>
      <c r="F4" s="4"/>
      <c r="G4" s="4"/>
      <c r="H4" s="4"/>
    </row>
    <row r="5" customFormat="false" ht="27.75" hidden="false" customHeight="true" outlineLevel="0" collapsed="false">
      <c r="B5" s="5" t="s">
        <v>3</v>
      </c>
      <c r="C5" s="6" t="s">
        <v>4</v>
      </c>
      <c r="D5" s="6"/>
      <c r="E5" s="6"/>
      <c r="F5" s="6"/>
      <c r="G5" s="6"/>
      <c r="H5" s="6"/>
    </row>
    <row r="6" customFormat="false" ht="27.75" hidden="false" customHeight="true" outlineLevel="0" collapsed="false">
      <c r="B6" s="5" t="s">
        <v>5</v>
      </c>
      <c r="C6" s="6" t="s">
        <v>6</v>
      </c>
      <c r="D6" s="6"/>
      <c r="E6" s="6"/>
      <c r="F6" s="6"/>
      <c r="G6" s="6"/>
      <c r="H6" s="6"/>
    </row>
    <row r="7" customFormat="false" ht="15" hidden="false" customHeight="true" outlineLevel="0" collapsed="false">
      <c r="B7" s="5" t="s">
        <v>7</v>
      </c>
      <c r="C7" s="7" t="s">
        <v>8</v>
      </c>
      <c r="D7" s="7"/>
      <c r="E7" s="7"/>
      <c r="F7" s="7"/>
      <c r="G7" s="7"/>
      <c r="H7" s="7"/>
    </row>
    <row r="8" customFormat="false" ht="52.5" hidden="false" customHeight="true" outlineLevel="0" collapsed="false">
      <c r="B8" s="5" t="s">
        <v>9</v>
      </c>
      <c r="C8" s="7" t="s">
        <v>10</v>
      </c>
      <c r="D8" s="7"/>
      <c r="E8" s="7"/>
      <c r="F8" s="7"/>
      <c r="G8" s="7"/>
      <c r="H8" s="7"/>
    </row>
    <row r="10" customFormat="false" ht="15" hidden="false" customHeight="false" outlineLevel="0" collapsed="false">
      <c r="B10" s="3" t="s">
        <v>11</v>
      </c>
      <c r="C10" s="4"/>
      <c r="D10" s="4"/>
      <c r="E10" s="4"/>
      <c r="F10" s="4"/>
      <c r="G10" s="4"/>
      <c r="H10" s="4"/>
    </row>
    <row r="11" customFormat="false" ht="15" hidden="false" customHeight="true" outlineLevel="0" collapsed="false">
      <c r="B11" s="5" t="s">
        <v>12</v>
      </c>
      <c r="C11" s="7" t="s">
        <v>13</v>
      </c>
      <c r="D11" s="7"/>
      <c r="E11" s="7"/>
      <c r="F11" s="7"/>
      <c r="G11" s="7"/>
      <c r="H11" s="7"/>
    </row>
    <row r="12" customFormat="false" ht="27.75" hidden="false" customHeight="true" outlineLevel="0" collapsed="false">
      <c r="B12" s="5" t="s">
        <v>14</v>
      </c>
      <c r="C12" s="7" t="s">
        <v>15</v>
      </c>
      <c r="D12" s="7"/>
      <c r="E12" s="7"/>
      <c r="F12" s="7"/>
      <c r="G12" s="7"/>
      <c r="H12" s="7"/>
    </row>
    <row r="13" customFormat="false" ht="27.75" hidden="false" customHeight="true" outlineLevel="0" collapsed="false">
      <c r="B13" s="5" t="s">
        <v>16</v>
      </c>
      <c r="C13" s="7" t="s">
        <v>17</v>
      </c>
      <c r="D13" s="7"/>
      <c r="E13" s="7"/>
      <c r="F13" s="7"/>
      <c r="G13" s="7"/>
      <c r="H13" s="7"/>
    </row>
    <row r="14" customFormat="false" ht="40.5" hidden="false" customHeight="true" outlineLevel="0" collapsed="false">
      <c r="B14" s="5" t="s">
        <v>18</v>
      </c>
      <c r="C14" s="7" t="s">
        <v>19</v>
      </c>
      <c r="D14" s="7"/>
      <c r="E14" s="7"/>
      <c r="F14" s="7"/>
      <c r="G14" s="7"/>
      <c r="H14" s="7"/>
    </row>
    <row r="16" customFormat="false" ht="15" hidden="false" customHeight="false" outlineLevel="0" collapsed="false">
      <c r="B16" s="3" t="s">
        <v>20</v>
      </c>
      <c r="C16" s="4"/>
      <c r="D16" s="4"/>
      <c r="E16" s="4"/>
      <c r="F16" s="4"/>
      <c r="G16" s="4"/>
      <c r="H16" s="4"/>
    </row>
    <row r="17" customFormat="false" ht="40.5" hidden="false" customHeight="true" outlineLevel="0" collapsed="false">
      <c r="B17" s="5" t="s">
        <v>21</v>
      </c>
      <c r="C17" s="7" t="s">
        <v>22</v>
      </c>
      <c r="D17" s="7"/>
      <c r="E17" s="7"/>
      <c r="F17" s="7"/>
      <c r="G17" s="7"/>
      <c r="H17" s="7"/>
    </row>
    <row r="18" customFormat="false" ht="78" hidden="false" customHeight="true" outlineLevel="0" collapsed="false">
      <c r="B18" s="5" t="s">
        <v>23</v>
      </c>
      <c r="C18" s="6" t="s">
        <v>24</v>
      </c>
      <c r="D18" s="6"/>
      <c r="E18" s="6"/>
      <c r="F18" s="6"/>
      <c r="G18" s="6"/>
      <c r="H18" s="6"/>
    </row>
    <row r="20" customFormat="false" ht="15" hidden="false" customHeight="false" outlineLevel="0" collapsed="false">
      <c r="B20" s="3" t="s">
        <v>25</v>
      </c>
      <c r="C20" s="4"/>
      <c r="D20" s="4"/>
      <c r="E20" s="4"/>
      <c r="F20" s="4"/>
      <c r="G20" s="4"/>
      <c r="H20" s="4"/>
    </row>
    <row r="21" customFormat="false" ht="15" hidden="false" customHeight="false" outlineLevel="0" collapsed="false">
      <c r="B21" s="8" t="s">
        <v>26</v>
      </c>
      <c r="C21" s="8" t="s">
        <v>12</v>
      </c>
      <c r="D21" s="8" t="s">
        <v>14</v>
      </c>
      <c r="E21" s="8" t="s">
        <v>16</v>
      </c>
      <c r="F21" s="8" t="s">
        <v>27</v>
      </c>
      <c r="G21" s="8" t="s">
        <v>28</v>
      </c>
    </row>
    <row r="22" customFormat="false" ht="15" hidden="false" customHeight="false" outlineLevel="0" collapsed="false">
      <c r="B22" s="9" t="s">
        <v>29</v>
      </c>
      <c r="C22" s="10" t="n">
        <f aca="false">COUNTIFS(指摘一覧!$B$5:$B$65,"A",指摘一覧!$C$5:$C$65,"*①*")</f>
        <v>6</v>
      </c>
      <c r="D22" s="10" t="n">
        <f aca="false">COUNTIFS(指摘一覧!$B$5:$B$65,"A",指摘一覧!$C$5:$C$65,"*②*")</f>
        <v>4</v>
      </c>
      <c r="E22" s="10" t="n">
        <f aca="false">COUNTIFS(指摘一覧!$B$5:$B$65,"A",指摘一覧!$C$5:$C$65,"*③*")</f>
        <v>5</v>
      </c>
      <c r="F22" s="10" t="n">
        <f aca="false">COUNTIF(指摘一覧!$B$5:$B$65,"A")</f>
        <v>7</v>
      </c>
      <c r="G22" s="10" t="n">
        <f aca="false">COUNTIFS(指摘一覧!$B$5:$B$65,"A",指摘一覧!$L$5:$L$65,"対応済")</f>
        <v>0</v>
      </c>
    </row>
    <row r="23" customFormat="false" ht="15" hidden="false" customHeight="false" outlineLevel="0" collapsed="false">
      <c r="B23" s="11" t="s">
        <v>30</v>
      </c>
      <c r="C23" s="10" t="n">
        <f aca="false">COUNTIFS(指摘一覧!$B$5:$B$65,"B",指摘一覧!$C$5:$C$65,"*①*")</f>
        <v>7</v>
      </c>
      <c r="D23" s="10" t="n">
        <f aca="false">COUNTIFS(指摘一覧!$B$5:$B$65,"B",指摘一覧!$C$5:$C$65,"*②*")</f>
        <v>6</v>
      </c>
      <c r="E23" s="10" t="n">
        <f aca="false">COUNTIFS(指摘一覧!$B$5:$B$65,"B",指摘一覧!$C$5:$C$65,"*③*")</f>
        <v>8</v>
      </c>
      <c r="F23" s="10" t="n">
        <f aca="false">COUNTIF(指摘一覧!$B$5:$B$65,"B")</f>
        <v>17</v>
      </c>
      <c r="G23" s="10" t="n">
        <f aca="false">COUNTIFS(指摘一覧!$B$5:$B$65,"B",指摘一覧!$L$5:$L$65,"対応済")</f>
        <v>0</v>
      </c>
    </row>
    <row r="24" customFormat="false" ht="15" hidden="false" customHeight="false" outlineLevel="0" collapsed="false">
      <c r="B24" s="12" t="s">
        <v>31</v>
      </c>
      <c r="C24" s="10" t="n">
        <f aca="false">COUNTIFS(指摘一覧!$B$5:$B$65,"C",指摘一覧!$C$5:$C$65,"*①*")</f>
        <v>24</v>
      </c>
      <c r="D24" s="10" t="n">
        <f aca="false">COUNTIFS(指摘一覧!$B$5:$B$65,"C",指摘一覧!$C$5:$C$65,"*②*")</f>
        <v>4</v>
      </c>
      <c r="E24" s="10" t="n">
        <f aca="false">COUNTIFS(指摘一覧!$B$5:$B$65,"C",指摘一覧!$C$5:$C$65,"*③*")</f>
        <v>0</v>
      </c>
      <c r="F24" s="10" t="n">
        <f aca="false">COUNTIF(指摘一覧!$B$5:$B$65,"C")</f>
        <v>27</v>
      </c>
      <c r="G24" s="10" t="n">
        <f aca="false">COUNTIFS(指摘一覧!$B$5:$B$65,"C",指摘一覧!$L$5:$L$65,"対応済")</f>
        <v>0</v>
      </c>
    </row>
    <row r="25" customFormat="false" ht="15" hidden="false" customHeight="false" outlineLevel="0" collapsed="false">
      <c r="B25" s="13" t="s">
        <v>32</v>
      </c>
      <c r="C25" s="10" t="n">
        <f aca="false">COUNTIFS(指摘一覧!$B$5:$B$65,"確認",指摘一覧!$C$5:$C$65,"*①*")</f>
        <v>1</v>
      </c>
      <c r="D25" s="10" t="n">
        <f aca="false">COUNTIFS(指摘一覧!$B$5:$B$65,"確認",指摘一覧!$C$5:$C$65,"*②*")</f>
        <v>2</v>
      </c>
      <c r="E25" s="10" t="n">
        <f aca="false">COUNTIFS(指摘一覧!$B$5:$B$65,"確認",指摘一覧!$C$5:$C$65,"*③*")</f>
        <v>7</v>
      </c>
      <c r="F25" s="10" t="n">
        <f aca="false">COUNTIF(指摘一覧!$B$5:$B$65,"確認")</f>
        <v>10</v>
      </c>
      <c r="G25" s="10" t="n">
        <f aca="false">COUNTIFS(指摘一覧!$B$5:$B$65,"確認",指摘一覧!$L$5:$L$65,"対応済")</f>
        <v>0</v>
      </c>
    </row>
    <row r="26" customFormat="false" ht="15" hidden="false" customHeight="false" outlineLevel="0" collapsed="false">
      <c r="B26" s="14" t="s">
        <v>27</v>
      </c>
      <c r="C26" s="15" t="n">
        <f aca="false">SUM(C22:C25)</f>
        <v>38</v>
      </c>
      <c r="D26" s="15" t="n">
        <f aca="false">SUM(D22:D25)</f>
        <v>16</v>
      </c>
      <c r="E26" s="15" t="n">
        <f aca="false">SUM(E22:E25)</f>
        <v>20</v>
      </c>
      <c r="F26" s="15" t="n">
        <f aca="false">SUM(F22:F25)</f>
        <v>61</v>
      </c>
      <c r="G26" s="15" t="n">
        <f aca="false">SUM(G22:G25)</f>
        <v>0</v>
      </c>
    </row>
    <row r="27" customFormat="false" ht="15" hidden="false" customHeight="false" outlineLevel="0" collapsed="false">
      <c r="B27" s="16" t="s">
        <v>33</v>
      </c>
    </row>
    <row r="29" customFormat="false" ht="15" hidden="false" customHeight="false" outlineLevel="0" collapsed="false">
      <c r="B29" s="3" t="s">
        <v>34</v>
      </c>
      <c r="C29" s="4"/>
      <c r="D29" s="4"/>
      <c r="E29" s="4"/>
      <c r="F29" s="4"/>
      <c r="G29" s="4"/>
      <c r="H29" s="4"/>
    </row>
    <row r="30" customFormat="false" ht="15" hidden="false" customHeight="true" outlineLevel="0" collapsed="false">
      <c r="B30" s="17" t="s">
        <v>35</v>
      </c>
      <c r="C30" s="7" t="s">
        <v>36</v>
      </c>
      <c r="D30" s="7"/>
      <c r="E30" s="7"/>
      <c r="F30" s="7"/>
      <c r="G30" s="7"/>
      <c r="H30" s="7"/>
    </row>
    <row r="31" customFormat="false" ht="15" hidden="false" customHeight="true" outlineLevel="0" collapsed="false">
      <c r="B31" s="17" t="s">
        <v>37</v>
      </c>
      <c r="C31" s="7" t="s">
        <v>38</v>
      </c>
      <c r="D31" s="7"/>
      <c r="E31" s="7"/>
      <c r="F31" s="7"/>
      <c r="G31" s="7"/>
      <c r="H31" s="7"/>
    </row>
    <row r="32" customFormat="false" ht="15" hidden="false" customHeight="true" outlineLevel="0" collapsed="false">
      <c r="B32" s="17" t="s">
        <v>39</v>
      </c>
      <c r="C32" s="7" t="s">
        <v>40</v>
      </c>
      <c r="D32" s="7"/>
      <c r="E32" s="7"/>
      <c r="F32" s="7"/>
      <c r="G32" s="7"/>
      <c r="H32" s="7"/>
    </row>
    <row r="33" customFormat="false" ht="15" hidden="false" customHeight="true" outlineLevel="0" collapsed="false">
      <c r="B33" s="5" t="s">
        <v>32</v>
      </c>
      <c r="C33" s="7" t="s">
        <v>41</v>
      </c>
      <c r="D33" s="7"/>
      <c r="E33" s="7"/>
      <c r="F33" s="7"/>
      <c r="G33" s="7"/>
      <c r="H33" s="7"/>
    </row>
    <row r="34" customFormat="false" ht="27.75" hidden="false" customHeight="true" outlineLevel="0" collapsed="false">
      <c r="B34" s="5" t="s">
        <v>42</v>
      </c>
      <c r="C34" s="7" t="s">
        <v>43</v>
      </c>
      <c r="D34" s="7"/>
      <c r="E34" s="7"/>
      <c r="F34" s="7"/>
      <c r="G34" s="7"/>
      <c r="H34" s="7"/>
    </row>
  </sheetData>
  <mergeCells count="15">
    <mergeCell ref="C5:H5"/>
    <mergeCell ref="C6:H6"/>
    <mergeCell ref="C7:H7"/>
    <mergeCell ref="C8:H8"/>
    <mergeCell ref="C11:H11"/>
    <mergeCell ref="C12:H12"/>
    <mergeCell ref="C13:H13"/>
    <mergeCell ref="C14:H14"/>
    <mergeCell ref="C17:H17"/>
    <mergeCell ref="C18:H18"/>
    <mergeCell ref="C30:H30"/>
    <mergeCell ref="C31:H31"/>
    <mergeCell ref="C32:H32"/>
    <mergeCell ref="C33:H33"/>
    <mergeCell ref="C34:H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3" min="2" style="0" width="7"/>
    <col collapsed="false" customWidth="true" hidden="false" outlineLevel="0" max="5" min="4" style="0" width="14"/>
    <col collapsed="false" customWidth="true" hidden="false" outlineLevel="0" max="6" min="6" style="0" width="30"/>
    <col collapsed="false" customWidth="true" hidden="false" outlineLevel="0" max="7" min="7" style="0" width="38"/>
    <col collapsed="false" customWidth="true" hidden="false" outlineLevel="0" max="8" min="8" style="0" width="62"/>
    <col collapsed="false" customWidth="true" hidden="false" outlineLevel="0" max="9" min="9" style="0" width="56"/>
    <col collapsed="false" customWidth="true" hidden="false" outlineLevel="0" max="10" min="10" style="0" width="12"/>
    <col collapsed="false" customWidth="true" hidden="false" outlineLevel="0" max="11" min="11" style="0" width="26"/>
    <col collapsed="false" customWidth="true" hidden="false" outlineLevel="0" max="12" min="12" style="0" width="10"/>
    <col collapsed="false" customWidth="true" hidden="false" outlineLevel="0" max="13" min="13" style="0" width="18"/>
  </cols>
  <sheetData>
    <row r="1" customFormat="false" ht="15" hidden="false" customHeight="false" outlineLevel="0" collapsed="false">
      <c r="A1" s="2" t="s">
        <v>44</v>
      </c>
    </row>
    <row r="2" customFormat="false" ht="15" hidden="false" customHeight="false" outlineLevel="0" collapsed="false">
      <c r="A2" s="18" t="s">
        <v>45</v>
      </c>
    </row>
    <row r="4" customFormat="false" ht="30" hidden="false" customHeight="true" outlineLevel="0" collapsed="false">
      <c r="A4" s="19" t="s">
        <v>46</v>
      </c>
      <c r="B4" s="8" t="s">
        <v>26</v>
      </c>
      <c r="C4" s="8" t="s">
        <v>47</v>
      </c>
      <c r="D4" s="8" t="s">
        <v>48</v>
      </c>
      <c r="E4" s="8" t="s">
        <v>49</v>
      </c>
      <c r="F4" s="8" t="s">
        <v>50</v>
      </c>
      <c r="G4" s="8" t="s">
        <v>51</v>
      </c>
      <c r="H4" s="8" t="s">
        <v>52</v>
      </c>
      <c r="I4" s="8" t="s">
        <v>53</v>
      </c>
      <c r="J4" s="8" t="s">
        <v>54</v>
      </c>
      <c r="K4" s="8" t="s">
        <v>55</v>
      </c>
      <c r="L4" s="8" t="s">
        <v>56</v>
      </c>
      <c r="M4" s="8" t="s">
        <v>57</v>
      </c>
    </row>
    <row r="5" customFormat="false" ht="165" hidden="false" customHeight="true" outlineLevel="0" collapsed="false">
      <c r="A5" s="10" t="n">
        <v>1</v>
      </c>
      <c r="B5" s="20" t="s">
        <v>58</v>
      </c>
      <c r="C5" s="10" t="s">
        <v>59</v>
      </c>
      <c r="D5" s="21" t="s">
        <v>60</v>
      </c>
      <c r="E5" s="21" t="s">
        <v>61</v>
      </c>
      <c r="F5" s="21" t="s">
        <v>62</v>
      </c>
      <c r="G5" s="21" t="s">
        <v>63</v>
      </c>
      <c r="H5" s="21" t="s">
        <v>64</v>
      </c>
      <c r="I5" s="21" t="s">
        <v>65</v>
      </c>
      <c r="J5" s="22" t="s">
        <v>66</v>
      </c>
      <c r="K5" s="21" t="s">
        <v>67</v>
      </c>
      <c r="L5" s="23" t="s">
        <v>68</v>
      </c>
      <c r="M5" s="22"/>
    </row>
    <row r="6" customFormat="false" ht="165" hidden="false" customHeight="true" outlineLevel="0" collapsed="false">
      <c r="A6" s="10" t="n">
        <v>2</v>
      </c>
      <c r="B6" s="20" t="s">
        <v>58</v>
      </c>
      <c r="C6" s="10" t="s">
        <v>69</v>
      </c>
      <c r="D6" s="21" t="s">
        <v>70</v>
      </c>
      <c r="E6" s="21" t="s">
        <v>61</v>
      </c>
      <c r="F6" s="21" t="s">
        <v>71</v>
      </c>
      <c r="G6" s="21" t="s">
        <v>72</v>
      </c>
      <c r="H6" s="21" t="s">
        <v>73</v>
      </c>
      <c r="I6" s="22" t="s">
        <v>74</v>
      </c>
      <c r="J6" s="22" t="s">
        <v>75</v>
      </c>
      <c r="K6" s="22" t="s">
        <v>76</v>
      </c>
      <c r="L6" s="23" t="s">
        <v>68</v>
      </c>
      <c r="M6" s="22"/>
    </row>
    <row r="7" customFormat="false" ht="52.5" hidden="false" customHeight="true" outlineLevel="0" collapsed="false">
      <c r="A7" s="10" t="n">
        <v>3</v>
      </c>
      <c r="B7" s="20" t="s">
        <v>58</v>
      </c>
      <c r="C7" s="10" t="s">
        <v>69</v>
      </c>
      <c r="D7" s="21" t="s">
        <v>77</v>
      </c>
      <c r="E7" s="21" t="s">
        <v>78</v>
      </c>
      <c r="F7" s="21" t="s">
        <v>79</v>
      </c>
      <c r="G7" s="21" t="s">
        <v>80</v>
      </c>
      <c r="H7" s="21" t="s">
        <v>81</v>
      </c>
      <c r="I7" s="21" t="s">
        <v>82</v>
      </c>
      <c r="J7" s="22" t="s">
        <v>83</v>
      </c>
      <c r="K7" s="21" t="s">
        <v>84</v>
      </c>
      <c r="L7" s="23" t="s">
        <v>68</v>
      </c>
      <c r="M7" s="22"/>
    </row>
    <row r="8" customFormat="false" ht="190.5" hidden="false" customHeight="true" outlineLevel="0" collapsed="false">
      <c r="A8" s="10" t="n">
        <v>4</v>
      </c>
      <c r="B8" s="20" t="s">
        <v>58</v>
      </c>
      <c r="C8" s="10" t="s">
        <v>59</v>
      </c>
      <c r="D8" s="21" t="s">
        <v>85</v>
      </c>
      <c r="E8" s="21" t="s">
        <v>61</v>
      </c>
      <c r="F8" s="21" t="s">
        <v>86</v>
      </c>
      <c r="G8" s="21" t="s">
        <v>87</v>
      </c>
      <c r="H8" s="22" t="s">
        <v>88</v>
      </c>
      <c r="I8" s="21" t="s">
        <v>89</v>
      </c>
      <c r="J8" s="22" t="s">
        <v>90</v>
      </c>
      <c r="K8" s="21" t="s">
        <v>91</v>
      </c>
      <c r="L8" s="23" t="s">
        <v>68</v>
      </c>
      <c r="M8" s="22"/>
    </row>
    <row r="9" customFormat="false" ht="177.75" hidden="false" customHeight="true" outlineLevel="0" collapsed="false">
      <c r="A9" s="10" t="n">
        <v>5</v>
      </c>
      <c r="B9" s="20" t="s">
        <v>58</v>
      </c>
      <c r="C9" s="10" t="s">
        <v>92</v>
      </c>
      <c r="D9" s="21" t="s">
        <v>93</v>
      </c>
      <c r="E9" s="21" t="s">
        <v>94</v>
      </c>
      <c r="F9" s="21" t="s">
        <v>95</v>
      </c>
      <c r="G9" s="21" t="s">
        <v>96</v>
      </c>
      <c r="H9" s="21" t="s">
        <v>97</v>
      </c>
      <c r="I9" s="21" t="s">
        <v>98</v>
      </c>
      <c r="J9" s="22" t="s">
        <v>99</v>
      </c>
      <c r="K9" s="21" t="s">
        <v>100</v>
      </c>
      <c r="L9" s="23" t="s">
        <v>68</v>
      </c>
      <c r="M9" s="22"/>
    </row>
    <row r="10" customFormat="false" ht="115.5" hidden="false" customHeight="true" outlineLevel="0" collapsed="false">
      <c r="A10" s="10" t="n">
        <v>6</v>
      </c>
      <c r="B10" s="20" t="s">
        <v>58</v>
      </c>
      <c r="C10" s="10" t="s">
        <v>101</v>
      </c>
      <c r="D10" s="21" t="s">
        <v>102</v>
      </c>
      <c r="E10" s="21" t="s">
        <v>103</v>
      </c>
      <c r="F10" s="22" t="s">
        <v>104</v>
      </c>
      <c r="G10" s="21" t="s">
        <v>105</v>
      </c>
      <c r="H10" s="21" t="s">
        <v>106</v>
      </c>
      <c r="I10" s="21" t="s">
        <v>107</v>
      </c>
      <c r="J10" s="22" t="s">
        <v>108</v>
      </c>
      <c r="K10" s="22" t="s">
        <v>109</v>
      </c>
      <c r="L10" s="23" t="s">
        <v>68</v>
      </c>
      <c r="M10" s="22"/>
    </row>
    <row r="11" customFormat="false" ht="190.5" hidden="false" customHeight="true" outlineLevel="0" collapsed="false">
      <c r="A11" s="10" t="n">
        <v>7</v>
      </c>
      <c r="B11" s="20" t="s">
        <v>58</v>
      </c>
      <c r="C11" s="10" t="s">
        <v>69</v>
      </c>
      <c r="D11" s="21" t="s">
        <v>110</v>
      </c>
      <c r="E11" s="21" t="s">
        <v>61</v>
      </c>
      <c r="F11" s="21" t="s">
        <v>111</v>
      </c>
      <c r="G11" s="21" t="s">
        <v>112</v>
      </c>
      <c r="H11" s="21" t="s">
        <v>113</v>
      </c>
      <c r="I11" s="21" t="s">
        <v>114</v>
      </c>
      <c r="J11" s="21" t="s">
        <v>115</v>
      </c>
      <c r="K11" s="21" t="s">
        <v>116</v>
      </c>
      <c r="L11" s="23" t="s">
        <v>68</v>
      </c>
      <c r="M11" s="22"/>
    </row>
    <row r="12" customFormat="false" ht="65.25" hidden="false" customHeight="true" outlineLevel="0" collapsed="false">
      <c r="A12" s="10" t="n">
        <v>8</v>
      </c>
      <c r="B12" s="24" t="s">
        <v>117</v>
      </c>
      <c r="C12" s="10" t="s">
        <v>118</v>
      </c>
      <c r="D12" s="21" t="s">
        <v>119</v>
      </c>
      <c r="E12" s="21" t="s">
        <v>3</v>
      </c>
      <c r="F12" s="22" t="s">
        <v>120</v>
      </c>
      <c r="G12" s="21" t="s">
        <v>121</v>
      </c>
      <c r="H12" s="21" t="s">
        <v>122</v>
      </c>
      <c r="I12" s="21" t="s">
        <v>123</v>
      </c>
      <c r="J12" s="22" t="s">
        <v>124</v>
      </c>
      <c r="K12" s="22" t="s">
        <v>125</v>
      </c>
      <c r="L12" s="23" t="s">
        <v>68</v>
      </c>
      <c r="M12" s="22"/>
    </row>
    <row r="13" customFormat="false" ht="52.5" hidden="false" customHeight="true" outlineLevel="0" collapsed="false">
      <c r="A13" s="10" t="n">
        <v>9</v>
      </c>
      <c r="B13" s="24" t="s">
        <v>117</v>
      </c>
      <c r="C13" s="10" t="s">
        <v>118</v>
      </c>
      <c r="D13" s="21" t="s">
        <v>119</v>
      </c>
      <c r="E13" s="21" t="s">
        <v>3</v>
      </c>
      <c r="F13" s="22" t="s">
        <v>126</v>
      </c>
      <c r="G13" s="21" t="s">
        <v>127</v>
      </c>
      <c r="H13" s="21" t="s">
        <v>128</v>
      </c>
      <c r="I13" s="21" t="s">
        <v>129</v>
      </c>
      <c r="J13" s="22" t="s">
        <v>130</v>
      </c>
      <c r="K13" s="22" t="s">
        <v>131</v>
      </c>
      <c r="L13" s="23" t="s">
        <v>68</v>
      </c>
      <c r="M13" s="22"/>
    </row>
    <row r="14" customFormat="false" ht="65.25" hidden="false" customHeight="true" outlineLevel="0" collapsed="false">
      <c r="A14" s="10" t="n">
        <v>10</v>
      </c>
      <c r="B14" s="24" t="s">
        <v>117</v>
      </c>
      <c r="C14" s="10" t="s">
        <v>92</v>
      </c>
      <c r="D14" s="21" t="s">
        <v>132</v>
      </c>
      <c r="E14" s="21" t="s">
        <v>3</v>
      </c>
      <c r="F14" s="22" t="s">
        <v>133</v>
      </c>
      <c r="G14" s="21" t="s">
        <v>134</v>
      </c>
      <c r="H14" s="21" t="s">
        <v>135</v>
      </c>
      <c r="I14" s="21" t="s">
        <v>136</v>
      </c>
      <c r="J14" s="22" t="s">
        <v>137</v>
      </c>
      <c r="K14" s="21" t="s">
        <v>138</v>
      </c>
      <c r="L14" s="23" t="s">
        <v>68</v>
      </c>
      <c r="M14" s="22"/>
    </row>
    <row r="15" customFormat="false" ht="102.75" hidden="false" customHeight="true" outlineLevel="0" collapsed="false">
      <c r="A15" s="10" t="n">
        <v>11</v>
      </c>
      <c r="B15" s="24" t="s">
        <v>117</v>
      </c>
      <c r="C15" s="10" t="s">
        <v>139</v>
      </c>
      <c r="D15" s="21" t="s">
        <v>140</v>
      </c>
      <c r="E15" s="21" t="s">
        <v>3</v>
      </c>
      <c r="F15" s="22" t="s">
        <v>141</v>
      </c>
      <c r="G15" s="21" t="s">
        <v>142</v>
      </c>
      <c r="H15" s="21" t="s">
        <v>143</v>
      </c>
      <c r="I15" s="21" t="s">
        <v>144</v>
      </c>
      <c r="J15" s="22" t="s">
        <v>145</v>
      </c>
      <c r="K15" s="21" t="s">
        <v>146</v>
      </c>
      <c r="L15" s="23" t="s">
        <v>68</v>
      </c>
      <c r="M15" s="22"/>
    </row>
    <row r="16" customFormat="false" ht="90" hidden="false" customHeight="true" outlineLevel="0" collapsed="false">
      <c r="A16" s="10" t="n">
        <v>12</v>
      </c>
      <c r="B16" s="24" t="s">
        <v>117</v>
      </c>
      <c r="C16" s="10" t="s">
        <v>92</v>
      </c>
      <c r="D16" s="21" t="s">
        <v>147</v>
      </c>
      <c r="E16" s="21" t="s">
        <v>94</v>
      </c>
      <c r="F16" s="21" t="s">
        <v>148</v>
      </c>
      <c r="G16" s="21" t="s">
        <v>149</v>
      </c>
      <c r="H16" s="22" t="s">
        <v>150</v>
      </c>
      <c r="I16" s="21" t="s">
        <v>151</v>
      </c>
      <c r="J16" s="22" t="s">
        <v>99</v>
      </c>
      <c r="K16" s="21" t="s">
        <v>152</v>
      </c>
      <c r="L16" s="23" t="s">
        <v>68</v>
      </c>
      <c r="M16" s="22"/>
    </row>
    <row r="17" customFormat="false" ht="90" hidden="false" customHeight="true" outlineLevel="0" collapsed="false">
      <c r="A17" s="10" t="n">
        <v>13</v>
      </c>
      <c r="B17" s="24" t="s">
        <v>117</v>
      </c>
      <c r="C17" s="10" t="s">
        <v>118</v>
      </c>
      <c r="D17" s="21" t="s">
        <v>153</v>
      </c>
      <c r="E17" s="21" t="s">
        <v>61</v>
      </c>
      <c r="F17" s="22" t="s">
        <v>154</v>
      </c>
      <c r="G17" s="21" t="s">
        <v>155</v>
      </c>
      <c r="H17" s="21" t="s">
        <v>156</v>
      </c>
      <c r="I17" s="21" t="s">
        <v>157</v>
      </c>
      <c r="J17" s="22" t="s">
        <v>99</v>
      </c>
      <c r="K17" s="21" t="s">
        <v>158</v>
      </c>
      <c r="L17" s="23" t="s">
        <v>68</v>
      </c>
      <c r="M17" s="22"/>
    </row>
    <row r="18" customFormat="false" ht="52.5" hidden="false" customHeight="true" outlineLevel="0" collapsed="false">
      <c r="A18" s="10" t="n">
        <v>14</v>
      </c>
      <c r="B18" s="24" t="s">
        <v>117</v>
      </c>
      <c r="C18" s="10" t="s">
        <v>92</v>
      </c>
      <c r="D18" s="21" t="s">
        <v>159</v>
      </c>
      <c r="E18" s="21" t="s">
        <v>3</v>
      </c>
      <c r="F18" s="22" t="s">
        <v>160</v>
      </c>
      <c r="G18" s="21" t="s">
        <v>161</v>
      </c>
      <c r="H18" s="21" t="s">
        <v>162</v>
      </c>
      <c r="I18" s="22" t="s">
        <v>163</v>
      </c>
      <c r="J18" s="22" t="s">
        <v>164</v>
      </c>
      <c r="K18" s="22" t="s">
        <v>165</v>
      </c>
      <c r="L18" s="23" t="s">
        <v>68</v>
      </c>
      <c r="M18" s="22"/>
    </row>
    <row r="19" customFormat="false" ht="78" hidden="false" customHeight="true" outlineLevel="0" collapsed="false">
      <c r="A19" s="10" t="n">
        <v>15</v>
      </c>
      <c r="B19" s="24" t="s">
        <v>117</v>
      </c>
      <c r="C19" s="10" t="s">
        <v>139</v>
      </c>
      <c r="D19" s="21" t="s">
        <v>153</v>
      </c>
      <c r="E19" s="21" t="s">
        <v>61</v>
      </c>
      <c r="F19" s="21" t="s">
        <v>166</v>
      </c>
      <c r="G19" s="21" t="s">
        <v>167</v>
      </c>
      <c r="H19" s="21" t="s">
        <v>168</v>
      </c>
      <c r="I19" s="21" t="s">
        <v>169</v>
      </c>
      <c r="J19" s="22" t="s">
        <v>170</v>
      </c>
      <c r="K19" s="21" t="s">
        <v>171</v>
      </c>
      <c r="L19" s="23" t="s">
        <v>68</v>
      </c>
      <c r="M19" s="22"/>
    </row>
    <row r="20" customFormat="false" ht="65.25" hidden="false" customHeight="true" outlineLevel="0" collapsed="false">
      <c r="A20" s="10" t="n">
        <v>16</v>
      </c>
      <c r="B20" s="24" t="s">
        <v>117</v>
      </c>
      <c r="C20" s="10" t="s">
        <v>139</v>
      </c>
      <c r="D20" s="21" t="s">
        <v>70</v>
      </c>
      <c r="E20" s="21" t="s">
        <v>3</v>
      </c>
      <c r="F20" s="21" t="s">
        <v>172</v>
      </c>
      <c r="G20" s="21" t="s">
        <v>173</v>
      </c>
      <c r="H20" s="21" t="s">
        <v>174</v>
      </c>
      <c r="I20" s="21" t="s">
        <v>175</v>
      </c>
      <c r="J20" s="22" t="s">
        <v>83</v>
      </c>
      <c r="K20" s="21" t="s">
        <v>176</v>
      </c>
      <c r="L20" s="23" t="s">
        <v>68</v>
      </c>
      <c r="M20" s="22"/>
    </row>
    <row r="21" customFormat="false" ht="65.25" hidden="false" customHeight="true" outlineLevel="0" collapsed="false">
      <c r="A21" s="10" t="n">
        <v>17</v>
      </c>
      <c r="B21" s="24" t="s">
        <v>117</v>
      </c>
      <c r="C21" s="10" t="s">
        <v>101</v>
      </c>
      <c r="D21" s="21" t="s">
        <v>177</v>
      </c>
      <c r="E21" s="21" t="s">
        <v>178</v>
      </c>
      <c r="F21" s="21" t="s">
        <v>179</v>
      </c>
      <c r="G21" s="21" t="s">
        <v>180</v>
      </c>
      <c r="H21" s="21" t="s">
        <v>181</v>
      </c>
      <c r="I21" s="21" t="s">
        <v>182</v>
      </c>
      <c r="J21" s="21" t="s">
        <v>183</v>
      </c>
      <c r="K21" s="21" t="s">
        <v>184</v>
      </c>
      <c r="L21" s="23" t="s">
        <v>68</v>
      </c>
      <c r="M21" s="22"/>
    </row>
    <row r="22" customFormat="false" ht="127.5" hidden="false" customHeight="true" outlineLevel="0" collapsed="false">
      <c r="A22" s="10" t="n">
        <v>18</v>
      </c>
      <c r="B22" s="24" t="s">
        <v>117</v>
      </c>
      <c r="C22" s="10" t="s">
        <v>69</v>
      </c>
      <c r="D22" s="21" t="s">
        <v>185</v>
      </c>
      <c r="E22" s="21" t="s">
        <v>61</v>
      </c>
      <c r="F22" s="21" t="s">
        <v>186</v>
      </c>
      <c r="G22" s="21" t="s">
        <v>187</v>
      </c>
      <c r="H22" s="21" t="s">
        <v>188</v>
      </c>
      <c r="I22" s="21" t="s">
        <v>189</v>
      </c>
      <c r="J22" s="22" t="s">
        <v>190</v>
      </c>
      <c r="K22" s="21" t="s">
        <v>191</v>
      </c>
      <c r="L22" s="23" t="s">
        <v>68</v>
      </c>
      <c r="M22" s="22"/>
    </row>
    <row r="23" customFormat="false" ht="78" hidden="false" customHeight="true" outlineLevel="0" collapsed="false">
      <c r="A23" s="10" t="n">
        <v>19</v>
      </c>
      <c r="B23" s="24" t="s">
        <v>117</v>
      </c>
      <c r="C23" s="10" t="s">
        <v>139</v>
      </c>
      <c r="D23" s="21" t="s">
        <v>192</v>
      </c>
      <c r="E23" s="21" t="s">
        <v>3</v>
      </c>
      <c r="F23" s="22" t="s">
        <v>193</v>
      </c>
      <c r="G23" s="21" t="s">
        <v>194</v>
      </c>
      <c r="H23" s="21" t="s">
        <v>195</v>
      </c>
      <c r="I23" s="21" t="s">
        <v>196</v>
      </c>
      <c r="J23" s="22" t="s">
        <v>197</v>
      </c>
      <c r="K23" s="21" t="s">
        <v>198</v>
      </c>
      <c r="L23" s="23" t="s">
        <v>68</v>
      </c>
      <c r="M23" s="22"/>
    </row>
    <row r="24" customFormat="false" ht="90" hidden="false" customHeight="true" outlineLevel="0" collapsed="false">
      <c r="A24" s="10" t="n">
        <v>20</v>
      </c>
      <c r="B24" s="24" t="s">
        <v>117</v>
      </c>
      <c r="C24" s="10" t="s">
        <v>101</v>
      </c>
      <c r="D24" s="21" t="s">
        <v>199</v>
      </c>
      <c r="E24" s="21" t="s">
        <v>200</v>
      </c>
      <c r="F24" s="22" t="s">
        <v>201</v>
      </c>
      <c r="G24" s="22" t="s">
        <v>202</v>
      </c>
      <c r="H24" s="22" t="s">
        <v>203</v>
      </c>
      <c r="I24" s="22" t="s">
        <v>204</v>
      </c>
      <c r="J24" s="22" t="s">
        <v>205</v>
      </c>
      <c r="K24" s="22" t="s">
        <v>165</v>
      </c>
      <c r="L24" s="23" t="s">
        <v>68</v>
      </c>
      <c r="M24" s="22"/>
    </row>
    <row r="25" customFormat="false" ht="40.5" hidden="false" customHeight="true" outlineLevel="0" collapsed="false">
      <c r="A25" s="10" t="n">
        <v>21</v>
      </c>
      <c r="B25" s="24" t="s">
        <v>117</v>
      </c>
      <c r="C25" s="10" t="s">
        <v>101</v>
      </c>
      <c r="D25" s="21" t="s">
        <v>206</v>
      </c>
      <c r="E25" s="21" t="s">
        <v>207</v>
      </c>
      <c r="F25" s="22" t="s">
        <v>208</v>
      </c>
      <c r="G25" s="21" t="s">
        <v>209</v>
      </c>
      <c r="H25" s="21" t="s">
        <v>210</v>
      </c>
      <c r="I25" s="21" t="s">
        <v>211</v>
      </c>
      <c r="J25" s="22" t="s">
        <v>124</v>
      </c>
      <c r="K25" s="21" t="s">
        <v>212</v>
      </c>
      <c r="L25" s="23" t="s">
        <v>68</v>
      </c>
      <c r="M25" s="22"/>
    </row>
    <row r="26" customFormat="false" ht="78" hidden="false" customHeight="true" outlineLevel="0" collapsed="false">
      <c r="A26" s="10" t="n">
        <v>22</v>
      </c>
      <c r="B26" s="24" t="s">
        <v>117</v>
      </c>
      <c r="C26" s="10" t="s">
        <v>139</v>
      </c>
      <c r="D26" s="21" t="s">
        <v>213</v>
      </c>
      <c r="E26" s="21" t="s">
        <v>3</v>
      </c>
      <c r="F26" s="22" t="s">
        <v>214</v>
      </c>
      <c r="G26" s="21" t="s">
        <v>215</v>
      </c>
      <c r="H26" s="21" t="s">
        <v>216</v>
      </c>
      <c r="I26" s="21" t="s">
        <v>217</v>
      </c>
      <c r="J26" s="22" t="s">
        <v>218</v>
      </c>
      <c r="K26" s="21" t="s">
        <v>219</v>
      </c>
      <c r="L26" s="23" t="s">
        <v>68</v>
      </c>
      <c r="M26" s="22"/>
    </row>
    <row r="27" customFormat="false" ht="52.5" hidden="false" customHeight="true" outlineLevel="0" collapsed="false">
      <c r="A27" s="10" t="n">
        <v>23</v>
      </c>
      <c r="B27" s="24" t="s">
        <v>117</v>
      </c>
      <c r="C27" s="10" t="s">
        <v>139</v>
      </c>
      <c r="D27" s="21" t="s">
        <v>220</v>
      </c>
      <c r="E27" s="21" t="s">
        <v>78</v>
      </c>
      <c r="F27" s="22" t="s">
        <v>221</v>
      </c>
      <c r="G27" s="21" t="s">
        <v>222</v>
      </c>
      <c r="H27" s="21" t="s">
        <v>223</v>
      </c>
      <c r="I27" s="21" t="s">
        <v>224</v>
      </c>
      <c r="J27" s="22" t="s">
        <v>225</v>
      </c>
      <c r="K27" s="21" t="s">
        <v>226</v>
      </c>
      <c r="L27" s="23" t="s">
        <v>68</v>
      </c>
      <c r="M27" s="22"/>
    </row>
    <row r="28" customFormat="false" ht="52.5" hidden="false" customHeight="true" outlineLevel="0" collapsed="false">
      <c r="A28" s="10" t="n">
        <v>24</v>
      </c>
      <c r="B28" s="24" t="s">
        <v>117</v>
      </c>
      <c r="C28" s="10" t="s">
        <v>139</v>
      </c>
      <c r="D28" s="21" t="s">
        <v>227</v>
      </c>
      <c r="E28" s="21" t="s">
        <v>3</v>
      </c>
      <c r="F28" s="22" t="s">
        <v>228</v>
      </c>
      <c r="G28" s="21" t="s">
        <v>229</v>
      </c>
      <c r="H28" s="21" t="s">
        <v>230</v>
      </c>
      <c r="I28" s="21" t="s">
        <v>231</v>
      </c>
      <c r="J28" s="22" t="s">
        <v>232</v>
      </c>
      <c r="K28" s="21" t="s">
        <v>233</v>
      </c>
      <c r="L28" s="23" t="s">
        <v>68</v>
      </c>
      <c r="M28" s="22"/>
    </row>
    <row r="29" customFormat="false" ht="52.5" hidden="false" customHeight="true" outlineLevel="0" collapsed="false">
      <c r="A29" s="10" t="n">
        <v>25</v>
      </c>
      <c r="B29" s="25" t="s">
        <v>234</v>
      </c>
      <c r="C29" s="10" t="s">
        <v>118</v>
      </c>
      <c r="D29" s="21" t="s">
        <v>235</v>
      </c>
      <c r="E29" s="21" t="s">
        <v>3</v>
      </c>
      <c r="F29" s="21" t="s">
        <v>236</v>
      </c>
      <c r="G29" s="21" t="s">
        <v>237</v>
      </c>
      <c r="H29" s="21" t="s">
        <v>238</v>
      </c>
      <c r="I29" s="21" t="s">
        <v>239</v>
      </c>
      <c r="J29" s="21" t="s">
        <v>240</v>
      </c>
      <c r="K29" s="22" t="s">
        <v>165</v>
      </c>
      <c r="L29" s="23" t="s">
        <v>68</v>
      </c>
      <c r="M29" s="22"/>
    </row>
    <row r="30" customFormat="false" ht="40.5" hidden="false" customHeight="true" outlineLevel="0" collapsed="false">
      <c r="A30" s="10" t="n">
        <v>26</v>
      </c>
      <c r="B30" s="25" t="s">
        <v>234</v>
      </c>
      <c r="C30" s="10" t="s">
        <v>118</v>
      </c>
      <c r="D30" s="21" t="s">
        <v>241</v>
      </c>
      <c r="E30" s="21" t="s">
        <v>3</v>
      </c>
      <c r="F30" s="21" t="s">
        <v>242</v>
      </c>
      <c r="G30" s="21" t="s">
        <v>243</v>
      </c>
      <c r="H30" s="21" t="s">
        <v>244</v>
      </c>
      <c r="I30" s="21" t="s">
        <v>245</v>
      </c>
      <c r="J30" s="22" t="s">
        <v>165</v>
      </c>
      <c r="K30" s="22" t="s">
        <v>165</v>
      </c>
      <c r="L30" s="23" t="s">
        <v>68</v>
      </c>
      <c r="M30" s="22"/>
    </row>
    <row r="31" customFormat="false" ht="27.75" hidden="false" customHeight="true" outlineLevel="0" collapsed="false">
      <c r="A31" s="10" t="n">
        <v>27</v>
      </c>
      <c r="B31" s="25" t="s">
        <v>234</v>
      </c>
      <c r="C31" s="10" t="s">
        <v>118</v>
      </c>
      <c r="D31" s="21" t="s">
        <v>235</v>
      </c>
      <c r="E31" s="21" t="s">
        <v>3</v>
      </c>
      <c r="F31" s="21" t="s">
        <v>246</v>
      </c>
      <c r="G31" s="21" t="s">
        <v>247</v>
      </c>
      <c r="H31" s="22" t="s">
        <v>248</v>
      </c>
      <c r="I31" s="21" t="s">
        <v>249</v>
      </c>
      <c r="J31" s="22" t="s">
        <v>165</v>
      </c>
      <c r="K31" s="22" t="s">
        <v>165</v>
      </c>
      <c r="L31" s="23" t="s">
        <v>68</v>
      </c>
      <c r="M31" s="22"/>
    </row>
    <row r="32" customFormat="false" ht="27.75" hidden="false" customHeight="true" outlineLevel="0" collapsed="false">
      <c r="A32" s="10" t="n">
        <v>28</v>
      </c>
      <c r="B32" s="25" t="s">
        <v>234</v>
      </c>
      <c r="C32" s="10" t="s">
        <v>118</v>
      </c>
      <c r="D32" s="21" t="s">
        <v>250</v>
      </c>
      <c r="E32" s="21" t="s">
        <v>3</v>
      </c>
      <c r="F32" s="22" t="s">
        <v>251</v>
      </c>
      <c r="G32" s="21" t="s">
        <v>252</v>
      </c>
      <c r="H32" s="21" t="s">
        <v>253</v>
      </c>
      <c r="I32" s="21" t="s">
        <v>254</v>
      </c>
      <c r="J32" s="22" t="s">
        <v>165</v>
      </c>
      <c r="K32" s="22" t="s">
        <v>165</v>
      </c>
      <c r="L32" s="23" t="s">
        <v>68</v>
      </c>
      <c r="M32" s="22"/>
    </row>
    <row r="33" customFormat="false" ht="52.5" hidden="false" customHeight="true" outlineLevel="0" collapsed="false">
      <c r="A33" s="10" t="n">
        <v>29</v>
      </c>
      <c r="B33" s="25" t="s">
        <v>234</v>
      </c>
      <c r="C33" s="10" t="s">
        <v>118</v>
      </c>
      <c r="D33" s="21" t="s">
        <v>255</v>
      </c>
      <c r="E33" s="21" t="s">
        <v>3</v>
      </c>
      <c r="F33" s="22" t="s">
        <v>256</v>
      </c>
      <c r="G33" s="21" t="s">
        <v>257</v>
      </c>
      <c r="H33" s="21" t="s">
        <v>258</v>
      </c>
      <c r="I33" s="21" t="s">
        <v>259</v>
      </c>
      <c r="J33" s="22" t="s">
        <v>165</v>
      </c>
      <c r="K33" s="21" t="s">
        <v>260</v>
      </c>
      <c r="L33" s="23" t="s">
        <v>68</v>
      </c>
      <c r="M33" s="22"/>
    </row>
    <row r="34" customFormat="false" ht="40.5" hidden="false" customHeight="true" outlineLevel="0" collapsed="false">
      <c r="A34" s="10" t="n">
        <v>30</v>
      </c>
      <c r="B34" s="25" t="s">
        <v>234</v>
      </c>
      <c r="C34" s="10" t="s">
        <v>118</v>
      </c>
      <c r="D34" s="21" t="s">
        <v>140</v>
      </c>
      <c r="E34" s="21" t="s">
        <v>3</v>
      </c>
      <c r="F34" s="22" t="s">
        <v>261</v>
      </c>
      <c r="G34" s="21" t="s">
        <v>262</v>
      </c>
      <c r="H34" s="21" t="s">
        <v>263</v>
      </c>
      <c r="I34" s="21" t="s">
        <v>264</v>
      </c>
      <c r="J34" s="22" t="s">
        <v>165</v>
      </c>
      <c r="K34" s="22" t="s">
        <v>165</v>
      </c>
      <c r="L34" s="23" t="s">
        <v>68</v>
      </c>
      <c r="M34" s="22"/>
    </row>
    <row r="35" customFormat="false" ht="27.75" hidden="false" customHeight="true" outlineLevel="0" collapsed="false">
      <c r="A35" s="10" t="n">
        <v>31</v>
      </c>
      <c r="B35" s="25" t="s">
        <v>234</v>
      </c>
      <c r="C35" s="10" t="s">
        <v>118</v>
      </c>
      <c r="D35" s="21" t="s">
        <v>119</v>
      </c>
      <c r="E35" s="21" t="s">
        <v>3</v>
      </c>
      <c r="F35" s="22" t="s">
        <v>265</v>
      </c>
      <c r="G35" s="21" t="s">
        <v>266</v>
      </c>
      <c r="H35" s="21" t="s">
        <v>267</v>
      </c>
      <c r="I35" s="21" t="s">
        <v>268</v>
      </c>
      <c r="J35" s="22" t="s">
        <v>165</v>
      </c>
      <c r="K35" s="22" t="s">
        <v>269</v>
      </c>
      <c r="L35" s="23" t="s">
        <v>68</v>
      </c>
      <c r="M35" s="22"/>
    </row>
    <row r="36" customFormat="false" ht="40.5" hidden="false" customHeight="true" outlineLevel="0" collapsed="false">
      <c r="A36" s="10" t="n">
        <v>32</v>
      </c>
      <c r="B36" s="25" t="s">
        <v>234</v>
      </c>
      <c r="C36" s="10" t="s">
        <v>118</v>
      </c>
      <c r="D36" s="21" t="s">
        <v>119</v>
      </c>
      <c r="E36" s="21" t="s">
        <v>3</v>
      </c>
      <c r="F36" s="22" t="s">
        <v>270</v>
      </c>
      <c r="G36" s="21" t="s">
        <v>271</v>
      </c>
      <c r="H36" s="22" t="s">
        <v>272</v>
      </c>
      <c r="I36" s="21" t="s">
        <v>273</v>
      </c>
      <c r="J36" s="22" t="s">
        <v>165</v>
      </c>
      <c r="K36" s="22" t="s">
        <v>274</v>
      </c>
      <c r="L36" s="23" t="s">
        <v>68</v>
      </c>
      <c r="M36" s="22"/>
    </row>
    <row r="37" customFormat="false" ht="27.75" hidden="false" customHeight="true" outlineLevel="0" collapsed="false">
      <c r="A37" s="10" t="n">
        <v>33</v>
      </c>
      <c r="B37" s="25" t="s">
        <v>234</v>
      </c>
      <c r="C37" s="10" t="s">
        <v>118</v>
      </c>
      <c r="D37" s="21" t="s">
        <v>275</v>
      </c>
      <c r="E37" s="21" t="s">
        <v>3</v>
      </c>
      <c r="F37" s="22" t="s">
        <v>276</v>
      </c>
      <c r="G37" s="21" t="s">
        <v>277</v>
      </c>
      <c r="H37" s="21" t="s">
        <v>278</v>
      </c>
      <c r="I37" s="21" t="s">
        <v>279</v>
      </c>
      <c r="J37" s="22" t="s">
        <v>165</v>
      </c>
      <c r="K37" s="22" t="s">
        <v>165</v>
      </c>
      <c r="L37" s="23" t="s">
        <v>68</v>
      </c>
      <c r="M37" s="22"/>
    </row>
    <row r="38" customFormat="false" ht="27.75" hidden="false" customHeight="true" outlineLevel="0" collapsed="false">
      <c r="A38" s="10" t="n">
        <v>34</v>
      </c>
      <c r="B38" s="25" t="s">
        <v>234</v>
      </c>
      <c r="C38" s="10" t="s">
        <v>92</v>
      </c>
      <c r="D38" s="21" t="s">
        <v>280</v>
      </c>
      <c r="E38" s="21" t="s">
        <v>94</v>
      </c>
      <c r="F38" s="22" t="s">
        <v>281</v>
      </c>
      <c r="G38" s="21" t="s">
        <v>282</v>
      </c>
      <c r="H38" s="22" t="s">
        <v>283</v>
      </c>
      <c r="I38" s="21" t="s">
        <v>284</v>
      </c>
      <c r="J38" s="22" t="s">
        <v>99</v>
      </c>
      <c r="K38" s="21" t="s">
        <v>260</v>
      </c>
      <c r="L38" s="23" t="s">
        <v>68</v>
      </c>
      <c r="M38" s="22"/>
    </row>
    <row r="39" customFormat="false" ht="27.75" hidden="false" customHeight="true" outlineLevel="0" collapsed="false">
      <c r="A39" s="10" t="n">
        <v>35</v>
      </c>
      <c r="B39" s="25" t="s">
        <v>234</v>
      </c>
      <c r="C39" s="10" t="s">
        <v>118</v>
      </c>
      <c r="D39" s="21" t="s">
        <v>285</v>
      </c>
      <c r="E39" s="21" t="s">
        <v>3</v>
      </c>
      <c r="F39" s="22" t="s">
        <v>286</v>
      </c>
      <c r="G39" s="21" t="s">
        <v>287</v>
      </c>
      <c r="H39" s="21" t="s">
        <v>288</v>
      </c>
      <c r="I39" s="21" t="s">
        <v>289</v>
      </c>
      <c r="J39" s="22" t="s">
        <v>165</v>
      </c>
      <c r="K39" s="22" t="s">
        <v>165</v>
      </c>
      <c r="L39" s="23" t="s">
        <v>68</v>
      </c>
      <c r="M39" s="22"/>
    </row>
    <row r="40" customFormat="false" ht="40.5" hidden="false" customHeight="true" outlineLevel="0" collapsed="false">
      <c r="A40" s="10" t="n">
        <v>36</v>
      </c>
      <c r="B40" s="25" t="s">
        <v>234</v>
      </c>
      <c r="C40" s="10" t="s">
        <v>118</v>
      </c>
      <c r="D40" s="21" t="s">
        <v>290</v>
      </c>
      <c r="E40" s="21" t="s">
        <v>291</v>
      </c>
      <c r="F40" s="22" t="s">
        <v>292</v>
      </c>
      <c r="G40" s="21" t="s">
        <v>293</v>
      </c>
      <c r="H40" s="21" t="s">
        <v>294</v>
      </c>
      <c r="I40" s="21" t="s">
        <v>295</v>
      </c>
      <c r="J40" s="22" t="s">
        <v>165</v>
      </c>
      <c r="K40" s="21" t="s">
        <v>296</v>
      </c>
      <c r="L40" s="23" t="s">
        <v>68</v>
      </c>
      <c r="M40" s="22"/>
    </row>
    <row r="41" customFormat="false" ht="27.75" hidden="false" customHeight="true" outlineLevel="0" collapsed="false">
      <c r="A41" s="10" t="n">
        <v>37</v>
      </c>
      <c r="B41" s="25" t="s">
        <v>234</v>
      </c>
      <c r="C41" s="10" t="s">
        <v>118</v>
      </c>
      <c r="D41" s="21" t="s">
        <v>297</v>
      </c>
      <c r="E41" s="21" t="s">
        <v>3</v>
      </c>
      <c r="F41" s="22" t="s">
        <v>298</v>
      </c>
      <c r="G41" s="21" t="s">
        <v>299</v>
      </c>
      <c r="H41" s="21" t="s">
        <v>300</v>
      </c>
      <c r="I41" s="21" t="s">
        <v>301</v>
      </c>
      <c r="J41" s="22" t="s">
        <v>99</v>
      </c>
      <c r="K41" s="22" t="s">
        <v>165</v>
      </c>
      <c r="L41" s="23" t="s">
        <v>68</v>
      </c>
      <c r="M41" s="22"/>
    </row>
    <row r="42" customFormat="false" ht="65.25" hidden="false" customHeight="true" outlineLevel="0" collapsed="false">
      <c r="A42" s="10" t="n">
        <v>38</v>
      </c>
      <c r="B42" s="25" t="s">
        <v>234</v>
      </c>
      <c r="C42" s="10" t="s">
        <v>118</v>
      </c>
      <c r="D42" s="21" t="s">
        <v>302</v>
      </c>
      <c r="E42" s="21" t="s">
        <v>61</v>
      </c>
      <c r="F42" s="22" t="s">
        <v>303</v>
      </c>
      <c r="G42" s="21" t="s">
        <v>304</v>
      </c>
      <c r="H42" s="22" t="s">
        <v>305</v>
      </c>
      <c r="I42" s="21" t="s">
        <v>306</v>
      </c>
      <c r="J42" s="22" t="s">
        <v>99</v>
      </c>
      <c r="K42" s="21" t="s">
        <v>307</v>
      </c>
      <c r="L42" s="23" t="s">
        <v>68</v>
      </c>
      <c r="M42" s="22"/>
    </row>
    <row r="43" customFormat="false" ht="27.75" hidden="false" customHeight="true" outlineLevel="0" collapsed="false">
      <c r="A43" s="10" t="n">
        <v>39</v>
      </c>
      <c r="B43" s="25" t="s">
        <v>234</v>
      </c>
      <c r="C43" s="10" t="s">
        <v>118</v>
      </c>
      <c r="D43" s="21" t="s">
        <v>297</v>
      </c>
      <c r="E43" s="21" t="s">
        <v>3</v>
      </c>
      <c r="F43" s="22" t="s">
        <v>308</v>
      </c>
      <c r="G43" s="21" t="s">
        <v>309</v>
      </c>
      <c r="H43" s="22" t="s">
        <v>310</v>
      </c>
      <c r="I43" s="21" t="s">
        <v>311</v>
      </c>
      <c r="J43" s="22" t="s">
        <v>165</v>
      </c>
      <c r="K43" s="22" t="s">
        <v>165</v>
      </c>
      <c r="L43" s="23" t="s">
        <v>68</v>
      </c>
      <c r="M43" s="22"/>
    </row>
    <row r="44" customFormat="false" ht="27.75" hidden="false" customHeight="true" outlineLevel="0" collapsed="false">
      <c r="A44" s="10" t="n">
        <v>40</v>
      </c>
      <c r="B44" s="25" t="s">
        <v>234</v>
      </c>
      <c r="C44" s="10" t="s">
        <v>118</v>
      </c>
      <c r="D44" s="21" t="s">
        <v>312</v>
      </c>
      <c r="E44" s="21" t="s">
        <v>291</v>
      </c>
      <c r="F44" s="22" t="s">
        <v>313</v>
      </c>
      <c r="G44" s="21" t="s">
        <v>314</v>
      </c>
      <c r="H44" s="22" t="s">
        <v>315</v>
      </c>
      <c r="I44" s="21" t="s">
        <v>316</v>
      </c>
      <c r="J44" s="22" t="s">
        <v>165</v>
      </c>
      <c r="K44" s="21" t="s">
        <v>317</v>
      </c>
      <c r="L44" s="23" t="s">
        <v>68</v>
      </c>
      <c r="M44" s="22"/>
    </row>
    <row r="45" customFormat="false" ht="27.75" hidden="false" customHeight="true" outlineLevel="0" collapsed="false">
      <c r="A45" s="10" t="n">
        <v>41</v>
      </c>
      <c r="B45" s="25" t="s">
        <v>234</v>
      </c>
      <c r="C45" s="10" t="s">
        <v>118</v>
      </c>
      <c r="D45" s="22" t="s">
        <v>318</v>
      </c>
      <c r="E45" s="21" t="s">
        <v>3</v>
      </c>
      <c r="F45" s="22" t="s">
        <v>319</v>
      </c>
      <c r="G45" s="21" t="s">
        <v>320</v>
      </c>
      <c r="H45" s="21" t="s">
        <v>321</v>
      </c>
      <c r="I45" s="21" t="s">
        <v>322</v>
      </c>
      <c r="J45" s="22" t="s">
        <v>165</v>
      </c>
      <c r="K45" s="22" t="s">
        <v>165</v>
      </c>
      <c r="L45" s="23" t="s">
        <v>68</v>
      </c>
      <c r="M45" s="22"/>
    </row>
    <row r="46" customFormat="false" ht="40.5" hidden="false" customHeight="true" outlineLevel="0" collapsed="false">
      <c r="A46" s="10" t="n">
        <v>42</v>
      </c>
      <c r="B46" s="25" t="s">
        <v>234</v>
      </c>
      <c r="C46" s="10" t="s">
        <v>118</v>
      </c>
      <c r="D46" s="21" t="s">
        <v>323</v>
      </c>
      <c r="E46" s="21" t="s">
        <v>3</v>
      </c>
      <c r="F46" s="22" t="s">
        <v>324</v>
      </c>
      <c r="G46" s="21" t="s">
        <v>325</v>
      </c>
      <c r="H46" s="21" t="s">
        <v>326</v>
      </c>
      <c r="I46" s="21" t="s">
        <v>327</v>
      </c>
      <c r="J46" s="22" t="s">
        <v>165</v>
      </c>
      <c r="K46" s="21" t="s">
        <v>260</v>
      </c>
      <c r="L46" s="23" t="s">
        <v>68</v>
      </c>
      <c r="M46" s="22"/>
    </row>
    <row r="47" customFormat="false" ht="15" hidden="false" customHeight="true" outlineLevel="0" collapsed="false">
      <c r="A47" s="10" t="n">
        <v>43</v>
      </c>
      <c r="B47" s="25" t="s">
        <v>234</v>
      </c>
      <c r="C47" s="10" t="s">
        <v>118</v>
      </c>
      <c r="D47" s="21" t="s">
        <v>241</v>
      </c>
      <c r="E47" s="21" t="s">
        <v>3</v>
      </c>
      <c r="F47" s="22" t="s">
        <v>328</v>
      </c>
      <c r="G47" s="21" t="s">
        <v>329</v>
      </c>
      <c r="H47" s="21" t="s">
        <v>330</v>
      </c>
      <c r="I47" s="21" t="s">
        <v>331</v>
      </c>
      <c r="J47" s="22" t="s">
        <v>165</v>
      </c>
      <c r="K47" s="22" t="s">
        <v>165</v>
      </c>
      <c r="L47" s="23" t="s">
        <v>68</v>
      </c>
      <c r="M47" s="22"/>
    </row>
    <row r="48" customFormat="false" ht="40.5" hidden="false" customHeight="true" outlineLevel="0" collapsed="false">
      <c r="A48" s="10" t="n">
        <v>44</v>
      </c>
      <c r="B48" s="25" t="s">
        <v>234</v>
      </c>
      <c r="C48" s="10" t="s">
        <v>101</v>
      </c>
      <c r="D48" s="21" t="s">
        <v>206</v>
      </c>
      <c r="E48" s="21" t="s">
        <v>332</v>
      </c>
      <c r="F48" s="22" t="s">
        <v>333</v>
      </c>
      <c r="G48" s="21" t="s">
        <v>334</v>
      </c>
      <c r="H48" s="22" t="s">
        <v>335</v>
      </c>
      <c r="I48" s="21" t="s">
        <v>336</v>
      </c>
      <c r="J48" s="22" t="s">
        <v>337</v>
      </c>
      <c r="K48" s="21" t="s">
        <v>338</v>
      </c>
      <c r="L48" s="23" t="s">
        <v>68</v>
      </c>
      <c r="M48" s="22"/>
    </row>
    <row r="49" customFormat="false" ht="65.25" hidden="false" customHeight="true" outlineLevel="0" collapsed="false">
      <c r="A49" s="10" t="n">
        <v>45</v>
      </c>
      <c r="B49" s="25" t="s">
        <v>234</v>
      </c>
      <c r="C49" s="10" t="s">
        <v>101</v>
      </c>
      <c r="D49" s="21" t="s">
        <v>339</v>
      </c>
      <c r="E49" s="21" t="s">
        <v>200</v>
      </c>
      <c r="F49" s="22" t="s">
        <v>340</v>
      </c>
      <c r="G49" s="21" t="s">
        <v>341</v>
      </c>
      <c r="H49" s="21" t="s">
        <v>342</v>
      </c>
      <c r="I49" s="21" t="s">
        <v>343</v>
      </c>
      <c r="J49" s="22" t="s">
        <v>344</v>
      </c>
      <c r="K49" s="22" t="s">
        <v>345</v>
      </c>
      <c r="L49" s="23" t="s">
        <v>68</v>
      </c>
      <c r="M49" s="22"/>
    </row>
    <row r="50" customFormat="false" ht="40.5" hidden="false" customHeight="true" outlineLevel="0" collapsed="false">
      <c r="A50" s="10" t="n">
        <v>46</v>
      </c>
      <c r="B50" s="25" t="s">
        <v>234</v>
      </c>
      <c r="C50" s="10" t="s">
        <v>118</v>
      </c>
      <c r="D50" s="21" t="s">
        <v>346</v>
      </c>
      <c r="E50" s="21" t="s">
        <v>61</v>
      </c>
      <c r="F50" s="22" t="s">
        <v>347</v>
      </c>
      <c r="G50" s="21" t="s">
        <v>348</v>
      </c>
      <c r="H50" s="22" t="s">
        <v>349</v>
      </c>
      <c r="I50" s="21" t="s">
        <v>350</v>
      </c>
      <c r="J50" s="22" t="s">
        <v>165</v>
      </c>
      <c r="K50" s="22" t="s">
        <v>165</v>
      </c>
      <c r="L50" s="23" t="s">
        <v>68</v>
      </c>
      <c r="M50" s="22"/>
    </row>
    <row r="51" customFormat="false" ht="40.5" hidden="false" customHeight="true" outlineLevel="0" collapsed="false">
      <c r="A51" s="10" t="n">
        <v>47</v>
      </c>
      <c r="B51" s="25" t="s">
        <v>234</v>
      </c>
      <c r="C51" s="10" t="s">
        <v>118</v>
      </c>
      <c r="D51" s="21" t="s">
        <v>285</v>
      </c>
      <c r="E51" s="21" t="s">
        <v>3</v>
      </c>
      <c r="F51" s="22" t="s">
        <v>351</v>
      </c>
      <c r="G51" s="21" t="s">
        <v>352</v>
      </c>
      <c r="H51" s="21" t="s">
        <v>353</v>
      </c>
      <c r="I51" s="21" t="s">
        <v>354</v>
      </c>
      <c r="J51" s="22" t="s">
        <v>165</v>
      </c>
      <c r="K51" s="22" t="s">
        <v>165</v>
      </c>
      <c r="L51" s="23" t="s">
        <v>68</v>
      </c>
      <c r="M51" s="22"/>
    </row>
    <row r="52" customFormat="false" ht="40.5" hidden="false" customHeight="true" outlineLevel="0" collapsed="false">
      <c r="A52" s="10" t="n">
        <v>48</v>
      </c>
      <c r="B52" s="25" t="s">
        <v>234</v>
      </c>
      <c r="C52" s="10" t="s">
        <v>101</v>
      </c>
      <c r="D52" s="21" t="s">
        <v>355</v>
      </c>
      <c r="E52" s="21" t="s">
        <v>200</v>
      </c>
      <c r="F52" s="22" t="s">
        <v>356</v>
      </c>
      <c r="G52" s="21" t="s">
        <v>357</v>
      </c>
      <c r="H52" s="21" t="s">
        <v>358</v>
      </c>
      <c r="I52" s="22" t="s">
        <v>359</v>
      </c>
      <c r="J52" s="22" t="s">
        <v>344</v>
      </c>
      <c r="K52" s="22" t="s">
        <v>345</v>
      </c>
      <c r="L52" s="23" t="s">
        <v>68</v>
      </c>
      <c r="M52" s="22"/>
    </row>
    <row r="53" customFormat="false" ht="27.75" hidden="false" customHeight="true" outlineLevel="0" collapsed="false">
      <c r="A53" s="10" t="n">
        <v>49</v>
      </c>
      <c r="B53" s="25" t="s">
        <v>234</v>
      </c>
      <c r="C53" s="10" t="s">
        <v>118</v>
      </c>
      <c r="D53" s="21" t="s">
        <v>241</v>
      </c>
      <c r="E53" s="21" t="s">
        <v>3</v>
      </c>
      <c r="F53" s="21" t="s">
        <v>360</v>
      </c>
      <c r="G53" s="21" t="s">
        <v>361</v>
      </c>
      <c r="H53" s="21" t="s">
        <v>362</v>
      </c>
      <c r="I53" s="21" t="s">
        <v>363</v>
      </c>
      <c r="J53" s="22" t="s">
        <v>165</v>
      </c>
      <c r="K53" s="22" t="s">
        <v>165</v>
      </c>
      <c r="L53" s="23" t="s">
        <v>68</v>
      </c>
      <c r="M53" s="22"/>
    </row>
    <row r="54" customFormat="false" ht="27.75" hidden="false" customHeight="true" outlineLevel="0" collapsed="false">
      <c r="A54" s="10" t="n">
        <v>50</v>
      </c>
      <c r="B54" s="25" t="s">
        <v>234</v>
      </c>
      <c r="C54" s="10" t="s">
        <v>118</v>
      </c>
      <c r="D54" s="21" t="s">
        <v>235</v>
      </c>
      <c r="E54" s="21" t="s">
        <v>5</v>
      </c>
      <c r="F54" s="21" t="s">
        <v>364</v>
      </c>
      <c r="G54" s="21" t="s">
        <v>365</v>
      </c>
      <c r="H54" s="21" t="s">
        <v>366</v>
      </c>
      <c r="I54" s="21" t="s">
        <v>367</v>
      </c>
      <c r="J54" s="22" t="s">
        <v>165</v>
      </c>
      <c r="K54" s="22" t="s">
        <v>165</v>
      </c>
      <c r="L54" s="23" t="s">
        <v>68</v>
      </c>
      <c r="M54" s="22"/>
    </row>
    <row r="55" customFormat="false" ht="27.75" hidden="false" customHeight="true" outlineLevel="0" collapsed="false">
      <c r="A55" s="10" t="n">
        <v>51</v>
      </c>
      <c r="B55" s="25" t="s">
        <v>234</v>
      </c>
      <c r="C55" s="10" t="s">
        <v>118</v>
      </c>
      <c r="D55" s="21" t="s">
        <v>235</v>
      </c>
      <c r="E55" s="21" t="s">
        <v>5</v>
      </c>
      <c r="F55" s="21" t="s">
        <v>368</v>
      </c>
      <c r="G55" s="21" t="s">
        <v>369</v>
      </c>
      <c r="H55" s="21" t="s">
        <v>370</v>
      </c>
      <c r="I55" s="21" t="s">
        <v>371</v>
      </c>
      <c r="J55" s="22" t="s">
        <v>165</v>
      </c>
      <c r="K55" s="22" t="s">
        <v>165</v>
      </c>
      <c r="L55" s="23" t="s">
        <v>68</v>
      </c>
      <c r="M55" s="22"/>
    </row>
    <row r="56" customFormat="false" ht="40.5" hidden="false" customHeight="true" outlineLevel="0" collapsed="false">
      <c r="A56" s="10" t="n">
        <v>52</v>
      </c>
      <c r="B56" s="26" t="s">
        <v>32</v>
      </c>
      <c r="C56" s="10" t="s">
        <v>101</v>
      </c>
      <c r="D56" s="21" t="s">
        <v>372</v>
      </c>
      <c r="E56" s="21" t="s">
        <v>178</v>
      </c>
      <c r="F56" s="21" t="s">
        <v>242</v>
      </c>
      <c r="G56" s="21" t="s">
        <v>373</v>
      </c>
      <c r="H56" s="21" t="s">
        <v>374</v>
      </c>
      <c r="I56" s="21" t="s">
        <v>375</v>
      </c>
      <c r="J56" s="21" t="s">
        <v>183</v>
      </c>
      <c r="K56" s="21" t="s">
        <v>376</v>
      </c>
      <c r="L56" s="23" t="s">
        <v>68</v>
      </c>
      <c r="M56" s="22"/>
    </row>
    <row r="57" customFormat="false" ht="65.25" hidden="false" customHeight="true" outlineLevel="0" collapsed="false">
      <c r="A57" s="10" t="n">
        <v>53</v>
      </c>
      <c r="B57" s="26" t="s">
        <v>32</v>
      </c>
      <c r="C57" s="10" t="s">
        <v>139</v>
      </c>
      <c r="D57" s="21" t="s">
        <v>377</v>
      </c>
      <c r="E57" s="21" t="s">
        <v>3</v>
      </c>
      <c r="F57" s="22" t="s">
        <v>378</v>
      </c>
      <c r="G57" s="21" t="s">
        <v>379</v>
      </c>
      <c r="H57" s="21" t="s">
        <v>380</v>
      </c>
      <c r="I57" s="21" t="s">
        <v>381</v>
      </c>
      <c r="J57" s="21" t="s">
        <v>382</v>
      </c>
      <c r="K57" s="21" t="s">
        <v>383</v>
      </c>
      <c r="L57" s="23" t="s">
        <v>68</v>
      </c>
      <c r="M57" s="22"/>
    </row>
    <row r="58" customFormat="false" ht="52.5" hidden="false" customHeight="true" outlineLevel="0" collapsed="false">
      <c r="A58" s="10" t="n">
        <v>54</v>
      </c>
      <c r="B58" s="26" t="s">
        <v>32</v>
      </c>
      <c r="C58" s="10" t="s">
        <v>101</v>
      </c>
      <c r="D58" s="21" t="s">
        <v>384</v>
      </c>
      <c r="E58" s="21" t="s">
        <v>61</v>
      </c>
      <c r="F58" s="22" t="s">
        <v>385</v>
      </c>
      <c r="G58" s="21" t="s">
        <v>386</v>
      </c>
      <c r="H58" s="21" t="s">
        <v>387</v>
      </c>
      <c r="I58" s="21" t="s">
        <v>388</v>
      </c>
      <c r="J58" s="22" t="s">
        <v>389</v>
      </c>
      <c r="K58" s="21" t="s">
        <v>390</v>
      </c>
      <c r="L58" s="23" t="s">
        <v>68</v>
      </c>
      <c r="M58" s="22"/>
    </row>
    <row r="59" customFormat="false" ht="40.5" hidden="false" customHeight="true" outlineLevel="0" collapsed="false">
      <c r="A59" s="10" t="n">
        <v>55</v>
      </c>
      <c r="B59" s="26" t="s">
        <v>32</v>
      </c>
      <c r="C59" s="10" t="s">
        <v>139</v>
      </c>
      <c r="D59" s="21" t="s">
        <v>391</v>
      </c>
      <c r="E59" s="21" t="s">
        <v>3</v>
      </c>
      <c r="F59" s="22" t="s">
        <v>392</v>
      </c>
      <c r="G59" s="21" t="s">
        <v>393</v>
      </c>
      <c r="H59" s="21" t="s">
        <v>394</v>
      </c>
      <c r="I59" s="21" t="s">
        <v>395</v>
      </c>
      <c r="J59" s="22" t="s">
        <v>232</v>
      </c>
      <c r="K59" s="22" t="s">
        <v>165</v>
      </c>
      <c r="L59" s="23" t="s">
        <v>68</v>
      </c>
      <c r="M59" s="22"/>
    </row>
    <row r="60" customFormat="false" ht="40.5" hidden="false" customHeight="true" outlineLevel="0" collapsed="false">
      <c r="A60" s="10" t="n">
        <v>56</v>
      </c>
      <c r="B60" s="26" t="s">
        <v>32</v>
      </c>
      <c r="C60" s="10" t="s">
        <v>139</v>
      </c>
      <c r="D60" s="21" t="s">
        <v>396</v>
      </c>
      <c r="E60" s="21" t="s">
        <v>397</v>
      </c>
      <c r="F60" s="22" t="s">
        <v>398</v>
      </c>
      <c r="G60" s="21" t="s">
        <v>399</v>
      </c>
      <c r="H60" s="21" t="s">
        <v>400</v>
      </c>
      <c r="I60" s="21" t="s">
        <v>401</v>
      </c>
      <c r="J60" s="21" t="s">
        <v>402</v>
      </c>
      <c r="K60" s="21" t="s">
        <v>403</v>
      </c>
      <c r="L60" s="23" t="s">
        <v>68</v>
      </c>
      <c r="M60" s="22"/>
    </row>
    <row r="61" customFormat="false" ht="52.5" hidden="false" customHeight="true" outlineLevel="0" collapsed="false">
      <c r="A61" s="10" t="n">
        <v>57</v>
      </c>
      <c r="B61" s="26" t="s">
        <v>32</v>
      </c>
      <c r="C61" s="10" t="s">
        <v>139</v>
      </c>
      <c r="D61" s="21" t="s">
        <v>396</v>
      </c>
      <c r="E61" s="21" t="s">
        <v>3</v>
      </c>
      <c r="F61" s="22" t="s">
        <v>404</v>
      </c>
      <c r="G61" s="21" t="s">
        <v>405</v>
      </c>
      <c r="H61" s="21" t="s">
        <v>406</v>
      </c>
      <c r="I61" s="21" t="s">
        <v>407</v>
      </c>
      <c r="J61" s="21" t="s">
        <v>183</v>
      </c>
      <c r="K61" s="22" t="s">
        <v>165</v>
      </c>
      <c r="L61" s="23" t="s">
        <v>68</v>
      </c>
      <c r="M61" s="22"/>
    </row>
    <row r="62" customFormat="false" ht="115.5" hidden="false" customHeight="true" outlineLevel="0" collapsed="false">
      <c r="A62" s="10" t="n">
        <v>58</v>
      </c>
      <c r="B62" s="26" t="s">
        <v>32</v>
      </c>
      <c r="C62" s="10" t="s">
        <v>139</v>
      </c>
      <c r="D62" s="21" t="s">
        <v>408</v>
      </c>
      <c r="E62" s="21" t="s">
        <v>409</v>
      </c>
      <c r="F62" s="21" t="s">
        <v>410</v>
      </c>
      <c r="G62" s="22" t="s">
        <v>165</v>
      </c>
      <c r="H62" s="21" t="s">
        <v>411</v>
      </c>
      <c r="I62" s="21" t="s">
        <v>412</v>
      </c>
      <c r="J62" s="21" t="s">
        <v>413</v>
      </c>
      <c r="K62" s="21" t="s">
        <v>414</v>
      </c>
      <c r="L62" s="23" t="s">
        <v>68</v>
      </c>
      <c r="M62" s="22"/>
    </row>
    <row r="63" customFormat="false" ht="40.5" hidden="false" customHeight="true" outlineLevel="0" collapsed="false">
      <c r="A63" s="10" t="n">
        <v>59</v>
      </c>
      <c r="B63" s="26" t="s">
        <v>32</v>
      </c>
      <c r="C63" s="10" t="s">
        <v>139</v>
      </c>
      <c r="D63" s="21" t="s">
        <v>415</v>
      </c>
      <c r="E63" s="21" t="s">
        <v>416</v>
      </c>
      <c r="F63" s="22" t="s">
        <v>417</v>
      </c>
      <c r="G63" s="21" t="s">
        <v>418</v>
      </c>
      <c r="H63" s="21" t="s">
        <v>419</v>
      </c>
      <c r="I63" s="21" t="s">
        <v>420</v>
      </c>
      <c r="J63" s="22" t="s">
        <v>165</v>
      </c>
      <c r="K63" s="21" t="s">
        <v>296</v>
      </c>
      <c r="L63" s="23" t="s">
        <v>68</v>
      </c>
      <c r="M63" s="22"/>
    </row>
    <row r="64" customFormat="false" ht="65.25" hidden="false" customHeight="true" outlineLevel="0" collapsed="false">
      <c r="A64" s="10" t="n">
        <v>60</v>
      </c>
      <c r="B64" s="26" t="s">
        <v>32</v>
      </c>
      <c r="C64" s="10" t="s">
        <v>118</v>
      </c>
      <c r="D64" s="21" t="s">
        <v>421</v>
      </c>
      <c r="E64" s="21" t="s">
        <v>422</v>
      </c>
      <c r="F64" s="21" t="s">
        <v>423</v>
      </c>
      <c r="G64" s="22" t="s">
        <v>165</v>
      </c>
      <c r="H64" s="21" t="s">
        <v>424</v>
      </c>
      <c r="I64" s="21" t="s">
        <v>425</v>
      </c>
      <c r="J64" s="22" t="s">
        <v>165</v>
      </c>
      <c r="K64" s="21" t="s">
        <v>426</v>
      </c>
      <c r="L64" s="23" t="s">
        <v>68</v>
      </c>
      <c r="M64" s="22"/>
    </row>
    <row r="65" customFormat="false" ht="65.25" hidden="false" customHeight="true" outlineLevel="0" collapsed="false">
      <c r="A65" s="10" t="n">
        <v>61</v>
      </c>
      <c r="B65" s="26" t="s">
        <v>32</v>
      </c>
      <c r="C65" s="10" t="s">
        <v>139</v>
      </c>
      <c r="D65" s="21" t="s">
        <v>427</v>
      </c>
      <c r="E65" s="21" t="s">
        <v>428</v>
      </c>
      <c r="F65" s="22" t="s">
        <v>429</v>
      </c>
      <c r="G65" s="21" t="s">
        <v>430</v>
      </c>
      <c r="H65" s="21" t="s">
        <v>431</v>
      </c>
      <c r="I65" s="21" t="s">
        <v>432</v>
      </c>
      <c r="J65" s="22" t="s">
        <v>165</v>
      </c>
      <c r="K65" s="21" t="s">
        <v>433</v>
      </c>
      <c r="L65" s="23" t="s">
        <v>68</v>
      </c>
      <c r="M65" s="22"/>
    </row>
  </sheetData>
  <autoFilter ref="A4:M65"/>
  <dataValidations count="1">
    <dataValidation allowBlank="true" errorStyle="stop" operator="between" showDropDown="false" showErrorMessage="false" showInputMessage="false" sqref="L5:L65" type="list">
      <formula1>"未対応,対応中,対応済,対応不要"</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34"/>
    <col collapsed="false" customWidth="true" hidden="false" outlineLevel="0" max="6" min="4" style="0" width="16"/>
    <col collapsed="false" customWidth="true" hidden="false" outlineLevel="0" max="9" min="7" style="0" width="9"/>
    <col collapsed="false" customWidth="true" hidden="false" outlineLevel="0" max="10" min="10" style="0" width="52"/>
    <col collapsed="false" customWidth="true" hidden="false" outlineLevel="0" max="11" min="11" style="0" width="12"/>
  </cols>
  <sheetData>
    <row r="1" customFormat="false" ht="15" hidden="false" customHeight="false" outlineLevel="0" collapsed="false">
      <c r="A1" s="2" t="s">
        <v>434</v>
      </c>
    </row>
    <row r="2" customFormat="false" ht="15" hidden="false" customHeight="false" outlineLevel="0" collapsed="false">
      <c r="A2" s="18" t="s">
        <v>435</v>
      </c>
    </row>
    <row r="4" customFormat="false" ht="30" hidden="false" customHeight="true" outlineLevel="0" collapsed="false">
      <c r="A4" s="19" t="s">
        <v>46</v>
      </c>
      <c r="B4" s="8" t="s">
        <v>436</v>
      </c>
      <c r="C4" s="8" t="s">
        <v>437</v>
      </c>
      <c r="D4" s="8" t="s">
        <v>438</v>
      </c>
      <c r="E4" s="8" t="s">
        <v>439</v>
      </c>
      <c r="F4" s="8" t="s">
        <v>440</v>
      </c>
      <c r="G4" s="8" t="s">
        <v>441</v>
      </c>
      <c r="H4" s="8" t="s">
        <v>442</v>
      </c>
      <c r="I4" s="8" t="s">
        <v>443</v>
      </c>
      <c r="J4" s="8" t="s">
        <v>444</v>
      </c>
      <c r="K4" s="8" t="s">
        <v>445</v>
      </c>
    </row>
    <row r="5" customFormat="false" ht="27.75" hidden="false" customHeight="true" outlineLevel="0" collapsed="false">
      <c r="A5" s="10" t="n">
        <v>1</v>
      </c>
      <c r="B5" s="21" t="s">
        <v>446</v>
      </c>
      <c r="C5" s="21" t="s">
        <v>447</v>
      </c>
      <c r="D5" s="27" t="n">
        <v>1030</v>
      </c>
      <c r="E5" s="27" t="n">
        <v>1030</v>
      </c>
      <c r="F5" s="28" t="n">
        <f aca="false">43+22+563+79+315+8</f>
        <v>1030</v>
      </c>
      <c r="G5" s="21" t="s">
        <v>448</v>
      </c>
      <c r="H5" s="22" t="n">
        <v>0.5</v>
      </c>
      <c r="I5" s="23" t="str">
        <f aca="false">IF(F5="","—",IF(COUNT(D5,E5)=0,"参考",IF(OR(AND(ISNUMBER(D5),ABS(N(D5)-F5)&gt;H5),AND(ISNUMBER(E5),ABS(N(E5)-F5)&gt;H5)),"不一致","一致")))</f>
        <v>一致</v>
      </c>
      <c r="J5" s="21" t="s">
        <v>449</v>
      </c>
      <c r="K5" s="22" t="s">
        <v>165</v>
      </c>
    </row>
    <row r="6" customFormat="false" ht="27.75" hidden="false" customHeight="true" outlineLevel="0" collapsed="false">
      <c r="A6" s="10" t="n">
        <v>2</v>
      </c>
      <c r="B6" s="21" t="s">
        <v>446</v>
      </c>
      <c r="C6" s="21" t="s">
        <v>450</v>
      </c>
      <c r="D6" s="27" t="n">
        <v>231</v>
      </c>
      <c r="E6" s="27" t="n">
        <v>231</v>
      </c>
      <c r="F6" s="28" t="n">
        <f aca="false">209+15+7</f>
        <v>231</v>
      </c>
      <c r="G6" s="21" t="s">
        <v>448</v>
      </c>
      <c r="H6" s="22" t="n">
        <v>0.5</v>
      </c>
      <c r="I6" s="23" t="str">
        <f aca="false">IF(F6="","—",IF(COUNT(D6,E6)=0,"参考",IF(OR(AND(ISNUMBER(D6),ABS(N(D6)-F6)&gt;H6),AND(ISNUMBER(E6),ABS(N(E6)-F6)&gt;H6)),"不一致","一致")))</f>
        <v>一致</v>
      </c>
      <c r="J6" s="21" t="s">
        <v>451</v>
      </c>
      <c r="K6" s="22" t="s">
        <v>165</v>
      </c>
    </row>
    <row r="7" customFormat="false" ht="15" hidden="false" customHeight="true" outlineLevel="0" collapsed="false">
      <c r="A7" s="10" t="n">
        <v>3</v>
      </c>
      <c r="B7" s="21" t="s">
        <v>446</v>
      </c>
      <c r="C7" s="21" t="s">
        <v>452</v>
      </c>
      <c r="D7" s="29" t="n">
        <v>17.2</v>
      </c>
      <c r="E7" s="29" t="n">
        <v>17.2</v>
      </c>
      <c r="F7" s="30" t="n">
        <f aca="false">ROUND(F5/60,1)</f>
        <v>17.2</v>
      </c>
      <c r="G7" s="21" t="s">
        <v>453</v>
      </c>
      <c r="H7" s="22" t="n">
        <v>0.05</v>
      </c>
      <c r="I7" s="23" t="str">
        <f aca="false">IF(F7="","—",IF(COUNT(D7,E7)=0,"参考",IF(OR(AND(ISNUMBER(D7),ABS(N(D7)-F7)&gt;H7),AND(ISNUMBER(E7),ABS(N(E7)-F7)&gt;H7)),"不一致","一致")))</f>
        <v>一致</v>
      </c>
      <c r="J7" s="22" t="s">
        <v>454</v>
      </c>
      <c r="K7" s="22" t="s">
        <v>165</v>
      </c>
    </row>
    <row r="8" customFormat="false" ht="15" hidden="false" customHeight="true" outlineLevel="0" collapsed="false">
      <c r="A8" s="10" t="n">
        <v>4</v>
      </c>
      <c r="B8" s="21" t="s">
        <v>446</v>
      </c>
      <c r="C8" s="21" t="s">
        <v>455</v>
      </c>
      <c r="D8" s="29" t="n">
        <v>3.9</v>
      </c>
      <c r="E8" s="29" t="n">
        <v>3.9</v>
      </c>
      <c r="F8" s="30" t="n">
        <f aca="false">ROUND(F6/60,1)</f>
        <v>3.9</v>
      </c>
      <c r="G8" s="21" t="s">
        <v>453</v>
      </c>
      <c r="H8" s="22" t="n">
        <v>0.05</v>
      </c>
      <c r="I8" s="23" t="str">
        <f aca="false">IF(F8="","—",IF(COUNT(D8,E8)=0,"参考",IF(OR(AND(ISNUMBER(D8),ABS(N(D8)-F8)&gt;H8),AND(ISNUMBER(E8),ABS(N(E8)-F8)&gt;H8)),"不一致","一致")))</f>
        <v>一致</v>
      </c>
      <c r="J8" s="22" t="s">
        <v>456</v>
      </c>
      <c r="K8" s="22" t="s">
        <v>165</v>
      </c>
    </row>
    <row r="9" customFormat="false" ht="15" hidden="false" customHeight="true" outlineLevel="0" collapsed="false">
      <c r="A9" s="10" t="n">
        <v>5</v>
      </c>
      <c r="B9" s="21" t="s">
        <v>446</v>
      </c>
      <c r="C9" s="21" t="s">
        <v>457</v>
      </c>
      <c r="D9" s="31" t="n">
        <v>0.78</v>
      </c>
      <c r="E9" s="31" t="n">
        <v>0.78</v>
      </c>
      <c r="F9" s="32" t="n">
        <f aca="false">ROUND((F5-F6)/F5,2)</f>
        <v>0.78</v>
      </c>
      <c r="G9" s="22" t="s">
        <v>165</v>
      </c>
      <c r="H9" s="22" t="n">
        <v>0.001</v>
      </c>
      <c r="I9" s="23" t="str">
        <f aca="false">IF(F9="","—",IF(COUNT(D9,E9)=0,"参考",IF(OR(AND(ISNUMBER(D9),ABS(N(D9)-F9)&gt;H9),AND(ISNUMBER(E9),ABS(N(E9)-F9)&gt;H9)),"不一致","一致")))</f>
        <v>一致</v>
      </c>
      <c r="J9" s="21" t="s">
        <v>458</v>
      </c>
      <c r="K9" s="22" t="s">
        <v>165</v>
      </c>
    </row>
    <row r="10" customFormat="false" ht="27.75" hidden="false" customHeight="true" outlineLevel="0" collapsed="false">
      <c r="A10" s="10" t="n">
        <v>6</v>
      </c>
      <c r="B10" s="21" t="s">
        <v>446</v>
      </c>
      <c r="C10" s="21" t="s">
        <v>459</v>
      </c>
      <c r="D10" s="27" t="n">
        <v>1050</v>
      </c>
      <c r="E10" s="27"/>
      <c r="F10" s="28" t="n">
        <f aca="false">150+480+420</f>
        <v>1050</v>
      </c>
      <c r="G10" s="21" t="s">
        <v>448</v>
      </c>
      <c r="H10" s="22" t="n">
        <v>0</v>
      </c>
      <c r="I10" s="23" t="str">
        <f aca="false">IF(F10="","—",IF(COUNT(D10,E10)=0,"参考",IF(OR(AND(ISNUMBER(D10),ABS(N(D10)-F10)&gt;H10),AND(ISNUMBER(E10),ABS(N(E10)-F10)&gt;H10)),"不一致","一致")))</f>
        <v>一致</v>
      </c>
      <c r="J10" s="22" t="s">
        <v>460</v>
      </c>
      <c r="K10" s="22" t="s">
        <v>165</v>
      </c>
    </row>
    <row r="11" customFormat="false" ht="15" hidden="false" customHeight="true" outlineLevel="0" collapsed="false">
      <c r="A11" s="10" t="n">
        <v>7</v>
      </c>
      <c r="B11" s="21" t="s">
        <v>446</v>
      </c>
      <c r="C11" s="21" t="s">
        <v>461</v>
      </c>
      <c r="D11" s="27" t="n">
        <v>1050</v>
      </c>
      <c r="E11" s="27"/>
      <c r="F11" s="28" t="n">
        <f aca="false">20+F5</f>
        <v>1050</v>
      </c>
      <c r="G11" s="21" t="s">
        <v>448</v>
      </c>
      <c r="H11" s="22" t="n">
        <v>0</v>
      </c>
      <c r="I11" s="23" t="str">
        <f aca="false">IF(F11="","—",IF(COUNT(D11,E11)=0,"参考",IF(OR(AND(ISNUMBER(D11),ABS(N(D11)-F11)&gt;H11),AND(ISNUMBER(E11),ABS(N(E11)-F11)&gt;H11)),"不一致","一致")))</f>
        <v>一致</v>
      </c>
      <c r="J11" s="21" t="s">
        <v>462</v>
      </c>
      <c r="K11" s="22" t="s">
        <v>165</v>
      </c>
    </row>
    <row r="12" customFormat="false" ht="15" hidden="false" customHeight="true" outlineLevel="0" collapsed="false">
      <c r="A12" s="10" t="n">
        <v>8</v>
      </c>
      <c r="B12" s="21" t="s">
        <v>446</v>
      </c>
      <c r="C12" s="21" t="s">
        <v>463</v>
      </c>
      <c r="D12" s="27" t="n">
        <v>251</v>
      </c>
      <c r="E12" s="27"/>
      <c r="F12" s="28" t="n">
        <f aca="false">20+F6</f>
        <v>251</v>
      </c>
      <c r="G12" s="21" t="s">
        <v>448</v>
      </c>
      <c r="H12" s="22" t="n">
        <v>0</v>
      </c>
      <c r="I12" s="23" t="str">
        <f aca="false">IF(F12="","—",IF(COUNT(D12,E12)=0,"参考",IF(OR(AND(ISNUMBER(D12),ABS(N(D12)-F12)&gt;H12),AND(ISNUMBER(E12),ABS(N(E12)-F12)&gt;H12)),"不一致","一致")))</f>
        <v>一致</v>
      </c>
      <c r="J12" s="21" t="s">
        <v>464</v>
      </c>
      <c r="K12" s="22" t="s">
        <v>165</v>
      </c>
    </row>
    <row r="13" customFormat="false" ht="15" hidden="false" customHeight="true" outlineLevel="0" collapsed="false">
      <c r="A13" s="10" t="n">
        <v>9</v>
      </c>
      <c r="B13" s="21" t="s">
        <v>446</v>
      </c>
      <c r="C13" s="21" t="s">
        <v>465</v>
      </c>
      <c r="D13" s="27" t="n">
        <v>799</v>
      </c>
      <c r="E13" s="27"/>
      <c r="F13" s="28" t="n">
        <f aca="false">F11-F12</f>
        <v>799</v>
      </c>
      <c r="G13" s="21" t="s">
        <v>448</v>
      </c>
      <c r="H13" s="22" t="n">
        <v>0</v>
      </c>
      <c r="I13" s="23" t="str">
        <f aca="false">IF(F13="","—",IF(COUNT(D13,E13)=0,"参考",IF(OR(AND(ISNUMBER(D13),ABS(N(D13)-F13)&gt;H13),AND(ISNUMBER(E13),ABS(N(E13)-F13)&gt;H13)),"不一致","一致")))</f>
        <v>一致</v>
      </c>
      <c r="J13" s="22" t="s">
        <v>466</v>
      </c>
      <c r="K13" s="22" t="s">
        <v>165</v>
      </c>
    </row>
    <row r="14" customFormat="false" ht="15" hidden="false" customHeight="true" outlineLevel="0" collapsed="false">
      <c r="A14" s="10" t="n">
        <v>10</v>
      </c>
      <c r="B14" s="21" t="s">
        <v>446</v>
      </c>
      <c r="C14" s="21" t="s">
        <v>467</v>
      </c>
      <c r="D14" s="27" t="n">
        <v>3262</v>
      </c>
      <c r="E14" s="27"/>
      <c r="F14" s="28" t="n">
        <f aca="false">ROUNDDOWN(F13/60*245,0)</f>
        <v>3262</v>
      </c>
      <c r="G14" s="21" t="s">
        <v>468</v>
      </c>
      <c r="H14" s="22" t="n">
        <v>1</v>
      </c>
      <c r="I14" s="23" t="str">
        <f aca="false">IF(F14="","—",IF(COUNT(D14,E14)=0,"参考",IF(OR(AND(ISNUMBER(D14),ABS(N(D14)-F14)&gt;H14),AND(ISNUMBER(E14),ABS(N(E14)-F14)&gt;H14)),"不一致","一致")))</f>
        <v>一致</v>
      </c>
      <c r="J14" s="22" t="s">
        <v>469</v>
      </c>
      <c r="K14" s="22" t="s">
        <v>165</v>
      </c>
    </row>
    <row r="15" customFormat="false" ht="27.75" hidden="false" customHeight="true" outlineLevel="0" collapsed="false">
      <c r="A15" s="10" t="n">
        <v>11</v>
      </c>
      <c r="B15" s="21" t="s">
        <v>446</v>
      </c>
      <c r="C15" s="21" t="s">
        <v>470</v>
      </c>
      <c r="D15" s="29"/>
      <c r="E15" s="29" t="n">
        <v>96.3</v>
      </c>
      <c r="F15" s="30" t="n">
        <f aca="false">ROUND((1050+1050+1050+2625)/60,1)</f>
        <v>96.3</v>
      </c>
      <c r="G15" s="21" t="s">
        <v>453</v>
      </c>
      <c r="H15" s="22" t="n">
        <v>0.05</v>
      </c>
      <c r="I15" s="23" t="str">
        <f aca="false">IF(F15="","—",IF(COUNT(D15,E15)=0,"参考",IF(OR(AND(ISNUMBER(D15),ABS(N(D15)-F15)&gt;H15),AND(ISNUMBER(E15),ABS(N(E15)-F15)&gt;H15)),"不一致","一致")))</f>
        <v>一致</v>
      </c>
      <c r="J15" s="21" t="s">
        <v>471</v>
      </c>
      <c r="K15" s="22" t="s">
        <v>165</v>
      </c>
    </row>
    <row r="16" customFormat="false" ht="27.75" hidden="false" customHeight="true" outlineLevel="0" collapsed="false">
      <c r="A16" s="10" t="n">
        <v>12</v>
      </c>
      <c r="B16" s="21" t="s">
        <v>446</v>
      </c>
      <c r="C16" s="21" t="s">
        <v>472</v>
      </c>
      <c r="D16" s="29"/>
      <c r="E16" s="29" t="n">
        <v>82.9</v>
      </c>
      <c r="F16" s="30" t="n">
        <f aca="false">ROUND((20+209+15+7+1050+1050+2625)/60,1)</f>
        <v>82.9</v>
      </c>
      <c r="G16" s="21" t="s">
        <v>453</v>
      </c>
      <c r="H16" s="22" t="n">
        <v>0.05</v>
      </c>
      <c r="I16" s="23" t="str">
        <f aca="false">IF(F16="","—",IF(COUNT(D16,E16)=0,"参考",IF(OR(AND(ISNUMBER(D16),ABS(N(D16)-F16)&gt;H16),AND(ISNUMBER(E16),ABS(N(E16)-F16)&gt;H16)),"不一致","一致")))</f>
        <v>一致</v>
      </c>
      <c r="J16" s="21" t="s">
        <v>473</v>
      </c>
      <c r="K16" s="22" t="s">
        <v>165</v>
      </c>
    </row>
    <row r="17" customFormat="false" ht="15" hidden="false" customHeight="true" outlineLevel="0" collapsed="false">
      <c r="A17" s="10" t="n">
        <v>13</v>
      </c>
      <c r="B17" s="21" t="s">
        <v>446</v>
      </c>
      <c r="C17" s="21" t="s">
        <v>474</v>
      </c>
      <c r="D17" s="31" t="n">
        <v>131</v>
      </c>
      <c r="E17" s="31"/>
      <c r="F17" s="32" t="n">
        <f aca="false">1050/8</f>
        <v>131.25</v>
      </c>
      <c r="G17" s="21" t="s">
        <v>475</v>
      </c>
      <c r="H17" s="22" t="n">
        <v>0.5</v>
      </c>
      <c r="I17" s="23" t="str">
        <f aca="false">IF(F17="","—",IF(COUNT(D17,E17)=0,"参考",IF(OR(AND(ISNUMBER(D17),ABS(N(D17)-F17)&gt;H17),AND(ISNUMBER(E17),ABS(N(E17)-F17)&gt;H17)),"不一致","一致")))</f>
        <v>一致</v>
      </c>
      <c r="J17" s="22" t="s">
        <v>476</v>
      </c>
      <c r="K17" s="22" t="s">
        <v>165</v>
      </c>
    </row>
    <row r="18" customFormat="false" ht="15" hidden="false" customHeight="true" outlineLevel="0" collapsed="false">
      <c r="A18" s="10" t="n">
        <v>14</v>
      </c>
      <c r="B18" s="21" t="s">
        <v>446</v>
      </c>
      <c r="C18" s="21" t="s">
        <v>477</v>
      </c>
      <c r="D18" s="27" t="n">
        <v>79</v>
      </c>
      <c r="E18" s="27" t="n">
        <v>79</v>
      </c>
      <c r="F18" s="28" t="n">
        <f aca="false">ROUND(0.6*131,0)</f>
        <v>79</v>
      </c>
      <c r="G18" s="21" t="s">
        <v>448</v>
      </c>
      <c r="H18" s="22" t="n">
        <v>0</v>
      </c>
      <c r="I18" s="23" t="str">
        <f aca="false">IF(F18="","—",IF(COUNT(D18,E18)=0,"参考",IF(OR(AND(ISNUMBER(D18),ABS(N(D18)-F18)&gt;H18),AND(ISNUMBER(E18),ABS(N(E18)-F18)&gt;H18)),"不一致","一致")))</f>
        <v>一致</v>
      </c>
      <c r="J18" s="22" t="s">
        <v>478</v>
      </c>
      <c r="K18" s="22" t="s">
        <v>165</v>
      </c>
    </row>
    <row r="19" customFormat="false" ht="15" hidden="false" customHeight="true" outlineLevel="0" collapsed="false">
      <c r="A19" s="10" t="n">
        <v>15</v>
      </c>
      <c r="B19" s="21" t="s">
        <v>446</v>
      </c>
      <c r="C19" s="21" t="s">
        <v>479</v>
      </c>
      <c r="D19" s="29" t="n">
        <v>315</v>
      </c>
      <c r="E19" s="29" t="n">
        <v>315</v>
      </c>
      <c r="F19" s="30" t="n">
        <f aca="false">2.4*131</f>
        <v>314.4</v>
      </c>
      <c r="G19" s="21" t="s">
        <v>448</v>
      </c>
      <c r="H19" s="22" t="n">
        <v>0.5</v>
      </c>
      <c r="I19" s="23" t="str">
        <f aca="false">IF(F19="","—",IF(COUNT(D19,E19)=0,"参考",IF(OR(AND(ISNUMBER(D19),ABS(N(D19)-F19)&gt;H19),AND(ISNUMBER(E19),ABS(N(E19)-F19)&gt;H19)),"不一致","一致")))</f>
        <v>不一致</v>
      </c>
      <c r="J19" s="22" t="s">
        <v>480</v>
      </c>
      <c r="K19" s="22" t="s">
        <v>481</v>
      </c>
    </row>
    <row r="20" customFormat="false" ht="27.75" hidden="false" customHeight="true" outlineLevel="0" collapsed="false">
      <c r="A20" s="10" t="n">
        <v>16</v>
      </c>
      <c r="B20" s="21" t="s">
        <v>446</v>
      </c>
      <c r="C20" s="21" t="s">
        <v>482</v>
      </c>
      <c r="D20" s="27" t="n">
        <v>22</v>
      </c>
      <c r="E20" s="27"/>
      <c r="F20" s="28" t="n">
        <f aca="false">ROUND(43*0.5,0)</f>
        <v>22</v>
      </c>
      <c r="G20" s="21" t="s">
        <v>448</v>
      </c>
      <c r="H20" s="22" t="n">
        <v>0</v>
      </c>
      <c r="I20" s="23" t="str">
        <f aca="false">IF(F20="","—",IF(COUNT(D20,E20)=0,"参考",IF(OR(AND(ISNUMBER(D20),ABS(N(D20)-F20)&gt;H20),AND(ISNUMBER(E20),ABS(N(E20)-F20)&gt;H20)),"不一致","一致")))</f>
        <v>一致</v>
      </c>
      <c r="J20" s="22" t="s">
        <v>483</v>
      </c>
      <c r="K20" s="22" t="s">
        <v>165</v>
      </c>
    </row>
    <row r="21" customFormat="false" ht="15" hidden="false" customHeight="true" outlineLevel="0" collapsed="false">
      <c r="A21" s="10" t="n">
        <v>17</v>
      </c>
      <c r="B21" s="21" t="s">
        <v>446</v>
      </c>
      <c r="C21" s="21" t="s">
        <v>484</v>
      </c>
      <c r="D21" s="27" t="n">
        <v>563</v>
      </c>
      <c r="E21" s="27" t="n">
        <v>563</v>
      </c>
      <c r="F21" s="28" t="n">
        <f aca="false">ROUND(1050/8*5-(20+43+22+8),0)</f>
        <v>563</v>
      </c>
      <c r="G21" s="21" t="s">
        <v>448</v>
      </c>
      <c r="H21" s="22" t="n">
        <v>0</v>
      </c>
      <c r="I21" s="23" t="str">
        <f aca="false">IF(F21="","—",IF(COUNT(D21,E21)=0,"参考",IF(OR(AND(ISNUMBER(D21),ABS(N(D21)-F21)&gt;H21),AND(ISNUMBER(E21),ABS(N(E21)-F21)&gt;H21)),"不一致","一致")))</f>
        <v>一致</v>
      </c>
      <c r="J21" s="22" t="s">
        <v>485</v>
      </c>
      <c r="K21" s="22" t="s">
        <v>486</v>
      </c>
    </row>
    <row r="22" customFormat="false" ht="15" hidden="false" customHeight="true" outlineLevel="0" collapsed="false">
      <c r="A22" s="10" t="n">
        <v>18</v>
      </c>
      <c r="B22" s="21" t="s">
        <v>446</v>
      </c>
      <c r="C22" s="21" t="s">
        <v>487</v>
      </c>
      <c r="D22" s="27" t="n">
        <v>250</v>
      </c>
      <c r="E22" s="27"/>
      <c r="F22" s="28" t="n">
        <f aca="false">150000/1200*2</f>
        <v>250</v>
      </c>
      <c r="G22" s="21" t="s">
        <v>448</v>
      </c>
      <c r="H22" s="22" t="n">
        <v>0</v>
      </c>
      <c r="I22" s="23" t="str">
        <f aca="false">IF(F22="","—",IF(COUNT(D22,E22)=0,"参考",IF(OR(AND(ISNUMBER(D22),ABS(N(D22)-F22)&gt;H22),AND(ISNUMBER(E22),ABS(N(E22)-F22)&gt;H22)),"不一致","一致")))</f>
        <v>一致</v>
      </c>
      <c r="J22" s="22" t="s">
        <v>488</v>
      </c>
      <c r="K22" s="22" t="s">
        <v>165</v>
      </c>
    </row>
    <row r="23" customFormat="false" ht="15" hidden="false" customHeight="true" outlineLevel="0" collapsed="false">
      <c r="A23" s="10" t="n">
        <v>19</v>
      </c>
      <c r="B23" s="21" t="s">
        <v>446</v>
      </c>
      <c r="C23" s="21" t="s">
        <v>489</v>
      </c>
      <c r="D23" s="27" t="n">
        <v>168</v>
      </c>
      <c r="E23" s="27"/>
      <c r="F23" s="28" t="n">
        <f aca="false">ROUNDUP(100000/1200,0)*2</f>
        <v>168</v>
      </c>
      <c r="G23" s="21" t="s">
        <v>448</v>
      </c>
      <c r="H23" s="22" t="n">
        <v>0</v>
      </c>
      <c r="I23" s="23" t="str">
        <f aca="false">IF(F23="","—",IF(COUNT(D23,E23)=0,"参考",IF(OR(AND(ISNUMBER(D23),ABS(N(D23)-F23)&gt;H23),AND(ISNUMBER(E23),ABS(N(E23)-F23)&gt;H23)),"不一致","一致")))</f>
        <v>一致</v>
      </c>
      <c r="J23" s="22" t="s">
        <v>490</v>
      </c>
      <c r="K23" s="22" t="s">
        <v>165</v>
      </c>
    </row>
    <row r="24" customFormat="false" ht="15" hidden="false" customHeight="true" outlineLevel="0" collapsed="false">
      <c r="A24" s="10" t="n">
        <v>20</v>
      </c>
      <c r="B24" s="21" t="s">
        <v>446</v>
      </c>
      <c r="C24" s="21" t="s">
        <v>491</v>
      </c>
      <c r="D24" s="27" t="n">
        <v>209</v>
      </c>
      <c r="E24" s="27" t="n">
        <v>209</v>
      </c>
      <c r="F24" s="28" t="n">
        <f aca="false">(F22+F23)/2</f>
        <v>209</v>
      </c>
      <c r="G24" s="21" t="s">
        <v>448</v>
      </c>
      <c r="H24" s="22" t="n">
        <v>0</v>
      </c>
      <c r="I24" s="23" t="str">
        <f aca="false">IF(F24="","—",IF(COUNT(D24,E24)=0,"参考",IF(OR(AND(ISNUMBER(D24),ABS(N(D24)-F24)&gt;H24),AND(ISNUMBER(E24),ABS(N(E24)-F24)&gt;H24)),"不一致","一致")))</f>
        <v>一致</v>
      </c>
      <c r="J24" s="21" t="s">
        <v>492</v>
      </c>
      <c r="K24" s="22" t="s">
        <v>165</v>
      </c>
    </row>
    <row r="25" customFormat="false" ht="15" hidden="false" customHeight="true" outlineLevel="0" collapsed="false">
      <c r="A25" s="10" t="n">
        <v>21</v>
      </c>
      <c r="B25" s="21" t="s">
        <v>446</v>
      </c>
      <c r="C25" s="21" t="s">
        <v>493</v>
      </c>
      <c r="D25" s="27" t="n">
        <v>18</v>
      </c>
      <c r="E25" s="27"/>
      <c r="F25" s="28" t="n">
        <f aca="false">ROUNDDOWN(150000/24000,0)*3</f>
        <v>18</v>
      </c>
      <c r="G25" s="21" t="s">
        <v>448</v>
      </c>
      <c r="H25" s="22" t="n">
        <v>0</v>
      </c>
      <c r="I25" s="23" t="str">
        <f aca="false">IF(F25="","—",IF(COUNT(D25,E25)=0,"参考",IF(OR(AND(ISNUMBER(D25),ABS(N(D25)-F25)&gt;H25),AND(ISNUMBER(E25),ABS(N(E25)-F25)&gt;H25)),"不一致","一致")))</f>
        <v>一致</v>
      </c>
      <c r="J25" s="22" t="s">
        <v>494</v>
      </c>
      <c r="K25" s="22" t="s">
        <v>165</v>
      </c>
    </row>
    <row r="26" customFormat="false" ht="15" hidden="false" customHeight="true" outlineLevel="0" collapsed="false">
      <c r="A26" s="10" t="n">
        <v>22</v>
      </c>
      <c r="B26" s="21" t="s">
        <v>446</v>
      </c>
      <c r="C26" s="21" t="s">
        <v>495</v>
      </c>
      <c r="D26" s="27" t="n">
        <v>12</v>
      </c>
      <c r="E26" s="27"/>
      <c r="F26" s="28" t="n">
        <f aca="false">ROUNDDOWN(100000/24000,0)*3</f>
        <v>12</v>
      </c>
      <c r="G26" s="21" t="s">
        <v>448</v>
      </c>
      <c r="H26" s="22" t="n">
        <v>0</v>
      </c>
      <c r="I26" s="23" t="str">
        <f aca="false">IF(F26="","—",IF(COUNT(D26,E26)=0,"参考",IF(OR(AND(ISNUMBER(D26),ABS(N(D26)-F26)&gt;H26),AND(ISNUMBER(E26),ABS(N(E26)-F26)&gt;H26)),"不一致","一致")))</f>
        <v>一致</v>
      </c>
      <c r="J26" s="22" t="s">
        <v>496</v>
      </c>
      <c r="K26" s="22" t="s">
        <v>165</v>
      </c>
    </row>
    <row r="27" customFormat="false" ht="15" hidden="false" customHeight="true" outlineLevel="0" collapsed="false">
      <c r="A27" s="10" t="n">
        <v>23</v>
      </c>
      <c r="B27" s="21" t="s">
        <v>446</v>
      </c>
      <c r="C27" s="21" t="s">
        <v>497</v>
      </c>
      <c r="D27" s="27" t="n">
        <v>15</v>
      </c>
      <c r="E27" s="27" t="n">
        <v>15</v>
      </c>
      <c r="F27" s="28" t="n">
        <f aca="false">(F25+F26)/2</f>
        <v>15</v>
      </c>
      <c r="G27" s="21" t="s">
        <v>448</v>
      </c>
      <c r="H27" s="22" t="n">
        <v>0</v>
      </c>
      <c r="I27" s="23" t="str">
        <f aca="false">IF(F27="","—",IF(COUNT(D27,E27)=0,"参考",IF(OR(AND(ISNUMBER(D27),ABS(N(D27)-F27)&gt;H27),AND(ISNUMBER(E27),ABS(N(E27)-F27)&gt;H27)),"不一致","一致")))</f>
        <v>一致</v>
      </c>
      <c r="J27" s="21" t="s">
        <v>498</v>
      </c>
      <c r="K27" s="22" t="s">
        <v>165</v>
      </c>
    </row>
    <row r="28" customFormat="false" ht="15" hidden="false" customHeight="true" outlineLevel="0" collapsed="false">
      <c r="A28" s="10" t="n">
        <v>24</v>
      </c>
      <c r="B28" s="21" t="s">
        <v>446</v>
      </c>
      <c r="C28" s="21" t="s">
        <v>499</v>
      </c>
      <c r="D28" s="27" t="n">
        <v>7</v>
      </c>
      <c r="E28" s="27" t="n">
        <v>7</v>
      </c>
      <c r="F28" s="28" t="n">
        <f aca="false">ROUND(25*1.1,0)/4</f>
        <v>7</v>
      </c>
      <c r="G28" s="21" t="s">
        <v>448</v>
      </c>
      <c r="H28" s="22" t="n">
        <v>0</v>
      </c>
      <c r="I28" s="23" t="str">
        <f aca="false">IF(F28="","—",IF(COUNT(D28,E28)=0,"参考",IF(OR(AND(ISNUMBER(D28),ABS(N(D28)-F28)&gt;H28),AND(ISNUMBER(E28),ABS(N(E28)-F28)&gt;H28)),"不一致","一致")))</f>
        <v>一致</v>
      </c>
      <c r="J28" s="22" t="s">
        <v>500</v>
      </c>
      <c r="K28" s="22" t="s">
        <v>501</v>
      </c>
    </row>
    <row r="29" customFormat="false" ht="27.75" hidden="false" customHeight="true" outlineLevel="0" collapsed="false">
      <c r="A29" s="10" t="n">
        <v>25</v>
      </c>
      <c r="B29" s="21" t="s">
        <v>446</v>
      </c>
      <c r="C29" s="21" t="s">
        <v>502</v>
      </c>
      <c r="D29" s="27" t="n">
        <v>120</v>
      </c>
      <c r="E29" s="27" t="n">
        <v>120</v>
      </c>
      <c r="F29" s="28" t="n">
        <f aca="false">24000/150</f>
        <v>160</v>
      </c>
      <c r="G29" s="21" t="s">
        <v>503</v>
      </c>
      <c r="H29" s="22" t="n">
        <v>15</v>
      </c>
      <c r="I29" s="23" t="str">
        <f aca="false">IF(F29="","—",IF(COUNT(D29,E29)=0,"参考",IF(OR(AND(ISNUMBER(D29),ABS(N(D29)-F29)&gt;H29),AND(ISNUMBER(E29),ABS(N(E29)-F29)&gt;H29)),"不一致","一致")))</f>
        <v>不一致</v>
      </c>
      <c r="J29" s="21" t="s">
        <v>504</v>
      </c>
      <c r="K29" s="22" t="s">
        <v>505</v>
      </c>
    </row>
    <row r="30" customFormat="false" ht="27.75" hidden="false" customHeight="true" outlineLevel="0" collapsed="false">
      <c r="A30" s="10" t="n">
        <v>26</v>
      </c>
      <c r="B30" s="21" t="s">
        <v>446</v>
      </c>
      <c r="C30" s="22" t="s">
        <v>506</v>
      </c>
      <c r="D30" s="27" t="n">
        <v>120</v>
      </c>
      <c r="E30" s="27" t="n">
        <v>120</v>
      </c>
      <c r="F30" s="28" t="n">
        <f aca="false">1050/ROUNDDOWN(150000/24000,0)</f>
        <v>175</v>
      </c>
      <c r="G30" s="21" t="s">
        <v>503</v>
      </c>
      <c r="H30" s="22" t="n">
        <v>15</v>
      </c>
      <c r="I30" s="23" t="str">
        <f aca="false">IF(F30="","—",IF(COUNT(D30,E30)=0,"参考",IF(OR(AND(ISNUMBER(D30),ABS(N(D30)-F30)&gt;H30),AND(ISNUMBER(E30),ABS(N(E30)-F30)&gt;H30)),"不一致","一致")))</f>
        <v>不一致</v>
      </c>
      <c r="J30" s="22" t="s">
        <v>507</v>
      </c>
      <c r="K30" s="22" t="s">
        <v>505</v>
      </c>
    </row>
    <row r="31" customFormat="false" ht="15" hidden="false" customHeight="true" outlineLevel="0" collapsed="false">
      <c r="A31" s="10" t="n">
        <v>27</v>
      </c>
      <c r="B31" s="21" t="s">
        <v>446</v>
      </c>
      <c r="C31" s="21" t="s">
        <v>508</v>
      </c>
      <c r="D31" s="27" t="n">
        <v>50</v>
      </c>
      <c r="E31" s="27"/>
      <c r="F31" s="28" t="n">
        <f aca="false">150000/1050*420/1200</f>
        <v>50</v>
      </c>
      <c r="G31" s="21" t="s">
        <v>509</v>
      </c>
      <c r="H31" s="22" t="n">
        <v>0.5</v>
      </c>
      <c r="I31" s="23" t="str">
        <f aca="false">IF(F31="","—",IF(COUNT(D31,E31)=0,"参考",IF(OR(AND(ISNUMBER(D31),ABS(N(D31)-F31)&gt;H31),AND(ISNUMBER(E31),ABS(N(E31)-F31)&gt;H31)),"不一致","一致")))</f>
        <v>一致</v>
      </c>
      <c r="J31" s="22" t="s">
        <v>510</v>
      </c>
      <c r="K31" s="22" t="s">
        <v>165</v>
      </c>
    </row>
    <row r="32" customFormat="false" ht="15" hidden="false" customHeight="true" outlineLevel="0" collapsed="false">
      <c r="A32" s="10" t="n">
        <v>28</v>
      </c>
      <c r="B32" s="21" t="s">
        <v>511</v>
      </c>
      <c r="C32" s="21" t="s">
        <v>512</v>
      </c>
      <c r="D32" s="27" t="n">
        <v>96790000</v>
      </c>
      <c r="E32" s="27"/>
      <c r="F32" s="28" t="n">
        <f aca="false">55250000+31500000+2040000+300000+3600000+4100000</f>
        <v>96790000</v>
      </c>
      <c r="G32" s="21" t="s">
        <v>513</v>
      </c>
      <c r="H32" s="22" t="n">
        <v>0</v>
      </c>
      <c r="I32" s="23" t="str">
        <f aca="false">IF(F32="","—",IF(COUNT(D32,E32)=0,"参考",IF(OR(AND(ISNUMBER(D32),ABS(N(D32)-F32)&gt;H32),AND(ISNUMBER(E32),ABS(N(E32)-F32)&gt;H32)),"不一致","一致")))</f>
        <v>一致</v>
      </c>
      <c r="J32" s="22" t="s">
        <v>514</v>
      </c>
      <c r="K32" s="22" t="s">
        <v>165</v>
      </c>
    </row>
    <row r="33" customFormat="false" ht="15" hidden="false" customHeight="true" outlineLevel="0" collapsed="false">
      <c r="A33" s="10" t="n">
        <v>29</v>
      </c>
      <c r="B33" s="21" t="s">
        <v>511</v>
      </c>
      <c r="C33" s="21" t="s">
        <v>515</v>
      </c>
      <c r="D33" s="27" t="n">
        <v>92000000</v>
      </c>
      <c r="E33" s="27"/>
      <c r="F33" s="28" t="n">
        <f aca="false">F32-4790000</f>
        <v>92000000</v>
      </c>
      <c r="G33" s="21" t="s">
        <v>513</v>
      </c>
      <c r="H33" s="22" t="n">
        <v>0</v>
      </c>
      <c r="I33" s="23" t="str">
        <f aca="false">IF(F33="","—",IF(COUNT(D33,E33)=0,"参考",IF(OR(AND(ISNUMBER(D33),ABS(N(D33)-F33)&gt;H33),AND(ISNUMBER(E33),ABS(N(E33)-F33)&gt;H33)),"不一致","一致")))</f>
        <v>一致</v>
      </c>
      <c r="J33" s="21" t="s">
        <v>516</v>
      </c>
      <c r="K33" s="22" t="s">
        <v>165</v>
      </c>
    </row>
    <row r="34" customFormat="false" ht="15" hidden="false" customHeight="true" outlineLevel="0" collapsed="false">
      <c r="A34" s="10" t="n">
        <v>30</v>
      </c>
      <c r="B34" s="21" t="s">
        <v>511</v>
      </c>
      <c r="C34" s="21" t="s">
        <v>517</v>
      </c>
      <c r="D34" s="27" t="n">
        <v>46000000</v>
      </c>
      <c r="E34" s="27"/>
      <c r="F34" s="28" t="n">
        <f aca="false">F33/2</f>
        <v>46000000</v>
      </c>
      <c r="G34" s="21" t="s">
        <v>513</v>
      </c>
      <c r="H34" s="22" t="n">
        <v>0</v>
      </c>
      <c r="I34" s="23" t="str">
        <f aca="false">IF(F34="","—",IF(COUNT(D34,E34)=0,"参考",IF(OR(AND(ISNUMBER(D34),ABS(N(D34)-F34)&gt;H34),AND(ISNUMBER(E34),ABS(N(E34)-F34)&gt;H34)),"不一致","一致")))</f>
        <v>一致</v>
      </c>
      <c r="J34" s="21" t="s">
        <v>518</v>
      </c>
      <c r="K34" s="22" t="s">
        <v>519</v>
      </c>
    </row>
    <row r="35" customFormat="false" ht="15" hidden="false" customHeight="true" outlineLevel="0" collapsed="false">
      <c r="A35" s="10" t="n">
        <v>31</v>
      </c>
      <c r="B35" s="21" t="s">
        <v>511</v>
      </c>
      <c r="C35" s="21" t="s">
        <v>520</v>
      </c>
      <c r="D35" s="27" t="n">
        <v>101200000</v>
      </c>
      <c r="E35" s="27" t="n">
        <v>101200000</v>
      </c>
      <c r="F35" s="28" t="n">
        <f aca="false">F33*1.1</f>
        <v>101200000</v>
      </c>
      <c r="G35" s="21" t="s">
        <v>513</v>
      </c>
      <c r="H35" s="22" t="n">
        <v>0</v>
      </c>
      <c r="I35" s="23" t="str">
        <f aca="false">IF(F35="","—",IF(COUNT(D35,E35)=0,"参考",IF(OR(AND(ISNUMBER(D35),ABS(N(D35)-F35)&gt;H35),AND(ISNUMBER(E35),ABS(N(E35)-F35)&gt;H35)),"不一致","一致")))</f>
        <v>一致</v>
      </c>
      <c r="J35" s="22" t="s">
        <v>521</v>
      </c>
      <c r="K35" s="22" t="s">
        <v>522</v>
      </c>
    </row>
    <row r="36" customFormat="false" ht="15" hidden="false" customHeight="true" outlineLevel="0" collapsed="false">
      <c r="A36" s="10" t="n">
        <v>32</v>
      </c>
      <c r="B36" s="21" t="s">
        <v>511</v>
      </c>
      <c r="C36" s="21" t="s">
        <v>523</v>
      </c>
      <c r="D36" s="27" t="n">
        <v>55200000</v>
      </c>
      <c r="E36" s="27"/>
      <c r="F36" s="28" t="n">
        <f aca="false">F35-F34</f>
        <v>55200000</v>
      </c>
      <c r="G36" s="21" t="s">
        <v>513</v>
      </c>
      <c r="H36" s="22" t="n">
        <v>0</v>
      </c>
      <c r="I36" s="23" t="str">
        <f aca="false">IF(F36="","—",IF(COUNT(D36,E36)=0,"参考",IF(OR(AND(ISNUMBER(D36),ABS(N(D36)-F36)&gt;H36),AND(ISNUMBER(E36),ABS(N(E36)-F36)&gt;H36)),"不一致","一致")))</f>
        <v>一致</v>
      </c>
      <c r="J36" s="22" t="s">
        <v>524</v>
      </c>
      <c r="K36" s="22" t="s">
        <v>165</v>
      </c>
    </row>
    <row r="37" customFormat="false" ht="15" hidden="false" customHeight="true" outlineLevel="0" collapsed="false">
      <c r="A37" s="10" t="n">
        <v>33</v>
      </c>
      <c r="B37" s="21" t="s">
        <v>511</v>
      </c>
      <c r="C37" s="21" t="s">
        <v>525</v>
      </c>
      <c r="D37" s="27" t="n">
        <v>2773</v>
      </c>
      <c r="E37" s="27" t="n">
        <v>2773</v>
      </c>
      <c r="F37" s="28" t="n">
        <f aca="false">ROUNDDOWN(1021940577/(188*245*8),0)</f>
        <v>2773</v>
      </c>
      <c r="G37" s="21" t="s">
        <v>526</v>
      </c>
      <c r="H37" s="22" t="n">
        <v>0</v>
      </c>
      <c r="I37" s="23" t="str">
        <f aca="false">IF(F37="","—",IF(COUNT(D37,E37)=0,"参考",IF(OR(AND(ISNUMBER(D37),ABS(N(D37)-F37)&gt;H37),AND(ISNUMBER(E37),ABS(N(E37)-F37)&gt;H37)),"不一致","一致")))</f>
        <v>一致</v>
      </c>
      <c r="J37" s="21" t="s">
        <v>527</v>
      </c>
      <c r="K37" s="22" t="s">
        <v>165</v>
      </c>
    </row>
    <row r="38" customFormat="false" ht="15" hidden="false" customHeight="true" outlineLevel="0" collapsed="false">
      <c r="A38" s="10" t="n">
        <v>34</v>
      </c>
      <c r="B38" s="21" t="s">
        <v>511</v>
      </c>
      <c r="C38" s="21" t="s">
        <v>528</v>
      </c>
      <c r="D38" s="27" t="n">
        <v>9047144</v>
      </c>
      <c r="E38" s="27" t="n">
        <v>9047144</v>
      </c>
      <c r="F38" s="28" t="n">
        <f aca="false">ROUND(799/60*245*F37,0)</f>
        <v>9047144</v>
      </c>
      <c r="G38" s="21" t="s">
        <v>529</v>
      </c>
      <c r="H38" s="22" t="n">
        <v>1</v>
      </c>
      <c r="I38" s="23" t="str">
        <f aca="false">IF(F38="","—",IF(COUNT(D38,E38)=0,"参考",IF(OR(AND(ISNUMBER(D38),ABS(N(D38)-F38)&gt;H38),AND(ISNUMBER(E38),ABS(N(E38)-F38)&gt;H38)),"不一致","一致")))</f>
        <v>一致</v>
      </c>
      <c r="J38" s="22" t="s">
        <v>530</v>
      </c>
      <c r="K38" s="22" t="s">
        <v>165</v>
      </c>
    </row>
    <row r="39" customFormat="false" ht="27.75" hidden="false" customHeight="true" outlineLevel="0" collapsed="false">
      <c r="A39" s="10" t="n">
        <v>35</v>
      </c>
      <c r="B39" s="21" t="s">
        <v>511</v>
      </c>
      <c r="C39" s="21" t="s">
        <v>531</v>
      </c>
      <c r="D39" s="27" t="n">
        <v>297960717</v>
      </c>
      <c r="E39" s="27" t="n">
        <v>297960717</v>
      </c>
      <c r="F39" s="28" t="n">
        <f aca="false">1891288147-1593327430</f>
        <v>297960717</v>
      </c>
      <c r="G39" s="21" t="s">
        <v>513</v>
      </c>
      <c r="H39" s="22" t="n">
        <v>0</v>
      </c>
      <c r="I39" s="23" t="str">
        <f aca="false">IF(F39="","—",IF(COUNT(D39,E39)=0,"参考",IF(OR(AND(ISNUMBER(D39),ABS(N(D39)-F39)&gt;H39),AND(ISNUMBER(E39),ABS(N(E39)-F39)&gt;H39)),"不一致","一致")))</f>
        <v>一致</v>
      </c>
      <c r="J39" s="22" t="s">
        <v>532</v>
      </c>
      <c r="K39" s="22" t="s">
        <v>165</v>
      </c>
    </row>
    <row r="40" customFormat="false" ht="27.75" hidden="false" customHeight="true" outlineLevel="0" collapsed="false">
      <c r="A40" s="10" t="n">
        <v>36</v>
      </c>
      <c r="B40" s="21" t="s">
        <v>511</v>
      </c>
      <c r="C40" s="21" t="s">
        <v>533</v>
      </c>
      <c r="D40" s="31" t="n">
        <v>0.33</v>
      </c>
      <c r="E40" s="31" t="n">
        <v>0.33</v>
      </c>
      <c r="F40" s="32" t="n">
        <f aca="false">ROUND(F35/(F38+F39),2)</f>
        <v>0.33</v>
      </c>
      <c r="G40" s="21" t="s">
        <v>534</v>
      </c>
      <c r="H40" s="22" t="n">
        <v>0.001</v>
      </c>
      <c r="I40" s="23" t="str">
        <f aca="false">IF(F40="","—",IF(COUNT(D40,E40)=0,"参考",IF(OR(AND(ISNUMBER(D40),ABS(N(D40)-F40)&gt;H40),AND(ISNUMBER(E40),ABS(N(E40)-F40)&gt;H40)),"不一致","一致")))</f>
        <v>一致</v>
      </c>
      <c r="J40" s="22" t="s">
        <v>535</v>
      </c>
      <c r="K40" s="22" t="s">
        <v>536</v>
      </c>
    </row>
    <row r="41" customFormat="false" ht="27.75" hidden="false" customHeight="true" outlineLevel="0" collapsed="false">
      <c r="A41" s="10" t="n">
        <v>37</v>
      </c>
      <c r="B41" s="21" t="s">
        <v>511</v>
      </c>
      <c r="C41" s="21" t="s">
        <v>537</v>
      </c>
      <c r="D41" s="31" t="n">
        <v>0.93</v>
      </c>
      <c r="E41" s="31" t="n">
        <v>0.93</v>
      </c>
      <c r="F41" s="32" t="n">
        <f aca="false">ROUND(F35/(F38+F39/3),2)</f>
        <v>0.93</v>
      </c>
      <c r="G41" s="21" t="s">
        <v>534</v>
      </c>
      <c r="H41" s="22" t="n">
        <v>0.001</v>
      </c>
      <c r="I41" s="23" t="str">
        <f aca="false">IF(F41="","—",IF(COUNT(D41,E41)=0,"参考",IF(OR(AND(ISNUMBER(D41),ABS(N(D41)-F41)&gt;H41),AND(ISNUMBER(E41),ABS(N(E41)-F41)&gt;H41)),"不一致","一致")))</f>
        <v>一致</v>
      </c>
      <c r="J41" s="22" t="s">
        <v>538</v>
      </c>
      <c r="K41" s="22" t="s">
        <v>536</v>
      </c>
    </row>
    <row r="42" customFormat="false" ht="15" hidden="false" customHeight="true" outlineLevel="0" collapsed="false">
      <c r="A42" s="10" t="n">
        <v>38</v>
      </c>
      <c r="B42" s="21" t="s">
        <v>511</v>
      </c>
      <c r="C42" s="21" t="s">
        <v>539</v>
      </c>
      <c r="D42" s="33" t="n">
        <v>0.1366</v>
      </c>
      <c r="E42" s="33" t="n">
        <v>0.1366</v>
      </c>
      <c r="F42" s="34" t="n">
        <f aca="false">ROUND(1525628095/11168904537,4)</f>
        <v>0.1366</v>
      </c>
      <c r="G42" s="22" t="s">
        <v>165</v>
      </c>
      <c r="H42" s="22" t="n">
        <v>5E-005</v>
      </c>
      <c r="I42" s="23" t="str">
        <f aca="false">IF(F42="","—",IF(COUNT(D42,E42)=0,"参考",IF(OR(AND(ISNUMBER(D42),ABS(N(D42)-F42)&gt;H42),AND(ISNUMBER(E42),ABS(N(E42)-F42)&gt;H42)),"不一致","一致")))</f>
        <v>一致</v>
      </c>
      <c r="J42" s="21" t="s">
        <v>540</v>
      </c>
      <c r="K42" s="22" t="s">
        <v>165</v>
      </c>
    </row>
    <row r="43" customFormat="false" ht="27.75" hidden="false" customHeight="true" outlineLevel="0" collapsed="false">
      <c r="A43" s="10" t="n">
        <v>39</v>
      </c>
      <c r="B43" s="21" t="s">
        <v>511</v>
      </c>
      <c r="C43" s="22" t="s">
        <v>541</v>
      </c>
      <c r="D43" s="27" t="n">
        <v>54640000</v>
      </c>
      <c r="E43" s="27" t="n">
        <v>54640000</v>
      </c>
      <c r="F43" s="28" t="n">
        <f aca="false">ROUND(400000000*F42,-4)</f>
        <v>54640000</v>
      </c>
      <c r="G43" s="21" t="s">
        <v>529</v>
      </c>
      <c r="H43" s="22" t="n">
        <v>0</v>
      </c>
      <c r="I43" s="23" t="str">
        <f aca="false">IF(F43="","—",IF(COUNT(D43,E43)=0,"参考",IF(OR(AND(ISNUMBER(D43),ABS(N(D43)-F43)&gt;H43),AND(ISNUMBER(E43),ABS(N(E43)-F43)&gt;H43)),"不一致","一致")))</f>
        <v>一致</v>
      </c>
      <c r="J43" s="22" t="s">
        <v>542</v>
      </c>
      <c r="K43" s="22" t="s">
        <v>543</v>
      </c>
    </row>
    <row r="44" customFormat="false" ht="15" hidden="false" customHeight="true" outlineLevel="0" collapsed="false">
      <c r="A44" s="10" t="n">
        <v>40</v>
      </c>
      <c r="B44" s="21" t="s">
        <v>511</v>
      </c>
      <c r="C44" s="22" t="s">
        <v>544</v>
      </c>
      <c r="D44" s="31" t="n">
        <v>1.59</v>
      </c>
      <c r="E44" s="31" t="n">
        <v>1.59</v>
      </c>
      <c r="F44" s="32" t="n">
        <f aca="false">ROUND(F35/(F38+F43),2)</f>
        <v>1.59</v>
      </c>
      <c r="G44" s="21" t="s">
        <v>534</v>
      </c>
      <c r="H44" s="22" t="n">
        <v>0.001</v>
      </c>
      <c r="I44" s="23" t="str">
        <f aca="false">IF(F44="","—",IF(COUNT(D44,E44)=0,"参考",IF(OR(AND(ISNUMBER(D44),ABS(N(D44)-F44)&gt;H44),AND(ISNUMBER(E44),ABS(N(E44)-F44)&gt;H44)),"不一致","一致")))</f>
        <v>一致</v>
      </c>
      <c r="J44" s="22" t="s">
        <v>545</v>
      </c>
      <c r="K44" s="22" t="s">
        <v>543</v>
      </c>
    </row>
    <row r="45" customFormat="false" ht="27.75" hidden="false" customHeight="true" outlineLevel="0" collapsed="false">
      <c r="A45" s="10" t="n">
        <v>41</v>
      </c>
      <c r="B45" s="21" t="s">
        <v>511</v>
      </c>
      <c r="C45" s="21" t="s">
        <v>546</v>
      </c>
      <c r="D45" s="35" t="n">
        <v>0.45</v>
      </c>
      <c r="E45" s="35"/>
      <c r="F45" s="36" t="n">
        <f aca="false">ROUND(92000000/204823050,2)</f>
        <v>0.45</v>
      </c>
      <c r="G45" s="22" t="s">
        <v>165</v>
      </c>
      <c r="H45" s="22" t="n">
        <v>0.001</v>
      </c>
      <c r="I45" s="23" t="str">
        <f aca="false">IF(F45="","—",IF(COUNT(D45,E45)=0,"参考",IF(OR(AND(ISNUMBER(D45),ABS(N(D45)-F45)&gt;H45),AND(ISNUMBER(E45),ABS(N(E45)-F45)&gt;H45)),"不一致","一致")))</f>
        <v>一致</v>
      </c>
      <c r="J45" s="22" t="s">
        <v>547</v>
      </c>
      <c r="K45" s="22" t="s">
        <v>165</v>
      </c>
    </row>
    <row r="46" customFormat="false" ht="15" hidden="false" customHeight="true" outlineLevel="0" collapsed="false">
      <c r="A46" s="10" t="n">
        <v>42</v>
      </c>
      <c r="B46" s="21" t="s">
        <v>548</v>
      </c>
      <c r="C46" s="21" t="s">
        <v>549</v>
      </c>
      <c r="D46" s="27" t="n">
        <v>1525628095</v>
      </c>
      <c r="E46" s="27" t="n">
        <v>1525628095</v>
      </c>
      <c r="F46" s="28" t="n">
        <f aca="false">204823050+1021940577+298864468</f>
        <v>1525628095</v>
      </c>
      <c r="G46" s="21" t="s">
        <v>513</v>
      </c>
      <c r="H46" s="22" t="n">
        <v>0</v>
      </c>
      <c r="I46" s="23" t="str">
        <f aca="false">IF(F46="","—",IF(COUNT(D46,E46)=0,"参考",IF(OR(AND(ISNUMBER(D46),ABS(N(D46)-F46)&gt;H46),AND(ISNUMBER(E46),ABS(N(E46)-F46)&gt;H46)),"不一致","一致")))</f>
        <v>一致</v>
      </c>
      <c r="J46" s="21" t="s">
        <v>550</v>
      </c>
      <c r="K46" s="22" t="s">
        <v>165</v>
      </c>
    </row>
    <row r="47" customFormat="false" ht="15" hidden="false" customHeight="true" outlineLevel="0" collapsed="false">
      <c r="A47" s="10" t="n">
        <v>43</v>
      </c>
      <c r="B47" s="21" t="s">
        <v>548</v>
      </c>
      <c r="C47" s="21" t="s">
        <v>551</v>
      </c>
      <c r="D47" s="27" t="n">
        <v>1593327430</v>
      </c>
      <c r="E47" s="27" t="n">
        <v>1593327430</v>
      </c>
      <c r="F47" s="28" t="n">
        <f aca="false">214284593+1080178369+298864468</f>
        <v>1593327430</v>
      </c>
      <c r="G47" s="21" t="s">
        <v>513</v>
      </c>
      <c r="H47" s="22" t="n">
        <v>0</v>
      </c>
      <c r="I47" s="23" t="str">
        <f aca="false">IF(F47="","—",IF(COUNT(D47,E47)=0,"参考",IF(OR(AND(ISNUMBER(D47),ABS(N(D47)-F47)&gt;H47),AND(ISNUMBER(E47),ABS(N(E47)-F47)&gt;H47)),"不一致","一致")))</f>
        <v>一致</v>
      </c>
      <c r="J47" s="21" t="s">
        <v>552</v>
      </c>
      <c r="K47" s="22" t="s">
        <v>165</v>
      </c>
    </row>
    <row r="48" customFormat="false" ht="15" hidden="false" customHeight="true" outlineLevel="0" collapsed="false">
      <c r="A48" s="10" t="n">
        <v>44</v>
      </c>
      <c r="B48" s="21" t="s">
        <v>548</v>
      </c>
      <c r="C48" s="21" t="s">
        <v>553</v>
      </c>
      <c r="D48" s="27" t="n">
        <v>1692179517</v>
      </c>
      <c r="E48" s="27" t="n">
        <v>1692179517</v>
      </c>
      <c r="F48" s="28" t="n">
        <f aca="false">251024522+1133090527+308064468</f>
        <v>1692179517</v>
      </c>
      <c r="G48" s="21" t="s">
        <v>513</v>
      </c>
      <c r="H48" s="22" t="n">
        <v>0</v>
      </c>
      <c r="I48" s="23" t="str">
        <f aca="false">IF(F48="","—",IF(COUNT(D48,E48)=0,"参考",IF(OR(AND(ISNUMBER(D48),ABS(N(D48)-F48)&gt;H48),AND(ISNUMBER(E48),ABS(N(E48)-F48)&gt;H48)),"不一致","一致")))</f>
        <v>一致</v>
      </c>
      <c r="J48" s="21" t="s">
        <v>552</v>
      </c>
      <c r="K48" s="22" t="s">
        <v>165</v>
      </c>
    </row>
    <row r="49" customFormat="false" ht="15" hidden="false" customHeight="true" outlineLevel="0" collapsed="false">
      <c r="A49" s="10" t="n">
        <v>45</v>
      </c>
      <c r="B49" s="21" t="s">
        <v>548</v>
      </c>
      <c r="C49" s="21" t="s">
        <v>554</v>
      </c>
      <c r="D49" s="27" t="n">
        <v>1791169755</v>
      </c>
      <c r="E49" s="27" t="n">
        <v>1791169755</v>
      </c>
      <c r="F49" s="28" t="n">
        <f aca="false">288637218+1194468069+308064468</f>
        <v>1791169755</v>
      </c>
      <c r="G49" s="21" t="s">
        <v>513</v>
      </c>
      <c r="H49" s="22" t="n">
        <v>0</v>
      </c>
      <c r="I49" s="23" t="str">
        <f aca="false">IF(F49="","—",IF(COUNT(D49,E49)=0,"参考",IF(OR(AND(ISNUMBER(D49),ABS(N(D49)-F49)&gt;H49),AND(ISNUMBER(E49),ABS(N(E49)-F49)&gt;H49)),"不一致","一致")))</f>
        <v>一致</v>
      </c>
      <c r="J49" s="21" t="s">
        <v>552</v>
      </c>
      <c r="K49" s="22" t="s">
        <v>165</v>
      </c>
    </row>
    <row r="50" customFormat="false" ht="15" hidden="false" customHeight="true" outlineLevel="0" collapsed="false">
      <c r="A50" s="10" t="n">
        <v>46</v>
      </c>
      <c r="B50" s="21" t="s">
        <v>548</v>
      </c>
      <c r="C50" s="21" t="s">
        <v>555</v>
      </c>
      <c r="D50" s="27" t="n">
        <v>1891288147</v>
      </c>
      <c r="E50" s="27" t="n">
        <v>1891288147</v>
      </c>
      <c r="F50" s="28" t="n">
        <f aca="false">330603724+1252619955+308064468</f>
        <v>1891288147</v>
      </c>
      <c r="G50" s="21" t="s">
        <v>513</v>
      </c>
      <c r="H50" s="22" t="n">
        <v>0</v>
      </c>
      <c r="I50" s="23" t="str">
        <f aca="false">IF(F50="","—",IF(COUNT(D50,E50)=0,"参考",IF(OR(AND(ISNUMBER(D50),ABS(N(D50)-F50)&gt;H50),AND(ISNUMBER(E50),ABS(N(E50)-F50)&gt;H50)),"不一致","一致")))</f>
        <v>一致</v>
      </c>
      <c r="J50" s="21" t="s">
        <v>552</v>
      </c>
      <c r="K50" s="22" t="s">
        <v>165</v>
      </c>
    </row>
    <row r="51" customFormat="false" ht="15" hidden="false" customHeight="true" outlineLevel="0" collapsed="false">
      <c r="A51" s="10" t="n">
        <v>47</v>
      </c>
      <c r="B51" s="21" t="s">
        <v>548</v>
      </c>
      <c r="C51" s="21" t="s">
        <v>556</v>
      </c>
      <c r="D51" s="27" t="n">
        <v>8115043</v>
      </c>
      <c r="E51" s="27"/>
      <c r="F51" s="28" t="n">
        <f aca="false">ROUNDDOWN(F46/188,0)</f>
        <v>8115043</v>
      </c>
      <c r="G51" s="21" t="s">
        <v>513</v>
      </c>
      <c r="H51" s="22" t="n">
        <v>0</v>
      </c>
      <c r="I51" s="23" t="str">
        <f aca="false">IF(F51="","—",IF(COUNT(D51,E51)=0,"参考",IF(OR(AND(ISNUMBER(D51),ABS(N(D51)-F51)&gt;H51),AND(ISNUMBER(E51),ABS(N(E51)-F51)&gt;H51)),"不一致","一致")))</f>
        <v>一致</v>
      </c>
      <c r="J51" s="22" t="s">
        <v>557</v>
      </c>
      <c r="K51" s="22" t="s">
        <v>165</v>
      </c>
    </row>
    <row r="52" customFormat="false" ht="15" hidden="false" customHeight="true" outlineLevel="0" collapsed="false">
      <c r="A52" s="10" t="n">
        <v>48</v>
      </c>
      <c r="B52" s="21" t="s">
        <v>548</v>
      </c>
      <c r="C52" s="21" t="s">
        <v>558</v>
      </c>
      <c r="D52" s="37" t="n">
        <v>8475145</v>
      </c>
      <c r="E52" s="37" t="n">
        <v>8475145.9</v>
      </c>
      <c r="F52" s="38" t="n">
        <f aca="false">F47/188</f>
        <v>8475145.90425532</v>
      </c>
      <c r="G52" s="21" t="s">
        <v>513</v>
      </c>
      <c r="H52" s="22" t="n">
        <v>1</v>
      </c>
      <c r="I52" s="23" t="str">
        <f aca="false">IF(F52="","—",IF(COUNT(D52,E52)=0,"参考",IF(OR(AND(ISNUMBER(D52),ABS(N(D52)-F52)&gt;H52),AND(ISNUMBER(E52),ABS(N(E52)-F52)&gt;H52)),"不一致","一致")))</f>
        <v>一致</v>
      </c>
      <c r="J52" s="22" t="s">
        <v>557</v>
      </c>
      <c r="K52" s="22" t="s">
        <v>165</v>
      </c>
    </row>
    <row r="53" customFormat="false" ht="15" hidden="false" customHeight="true" outlineLevel="0" collapsed="false">
      <c r="A53" s="10" t="n">
        <v>49</v>
      </c>
      <c r="B53" s="21" t="s">
        <v>548</v>
      </c>
      <c r="C53" s="21" t="s">
        <v>559</v>
      </c>
      <c r="D53" s="37" t="n">
        <v>8859578</v>
      </c>
      <c r="E53" s="37" t="n">
        <v>8859578.62</v>
      </c>
      <c r="F53" s="38" t="n">
        <f aca="false">F48/191</f>
        <v>8859578.62303665</v>
      </c>
      <c r="G53" s="21" t="s">
        <v>513</v>
      </c>
      <c r="H53" s="22" t="n">
        <v>1</v>
      </c>
      <c r="I53" s="23" t="str">
        <f aca="false">IF(F53="","—",IF(COUNT(D53,E53)=0,"参考",IF(OR(AND(ISNUMBER(D53),ABS(N(D53)-F53)&gt;H53),AND(ISNUMBER(E53),ABS(N(E53)-F53)&gt;H53)),"不一致","一致")))</f>
        <v>一致</v>
      </c>
      <c r="J53" s="22" t="s">
        <v>560</v>
      </c>
      <c r="K53" s="22" t="s">
        <v>165</v>
      </c>
    </row>
    <row r="54" customFormat="false" ht="15" hidden="false" customHeight="true" outlineLevel="0" collapsed="false">
      <c r="A54" s="10" t="n">
        <v>50</v>
      </c>
      <c r="B54" s="21" t="s">
        <v>548</v>
      </c>
      <c r="C54" s="21" t="s">
        <v>561</v>
      </c>
      <c r="D54" s="37" t="n">
        <v>9551960</v>
      </c>
      <c r="E54" s="37" t="n">
        <v>9551960.33</v>
      </c>
      <c r="F54" s="38" t="n">
        <f aca="false">F50/198</f>
        <v>9551960.33838384</v>
      </c>
      <c r="G54" s="21" t="s">
        <v>513</v>
      </c>
      <c r="H54" s="22" t="n">
        <v>1</v>
      </c>
      <c r="I54" s="23" t="str">
        <f aca="false">IF(F54="","—",IF(COUNT(D54,E54)=0,"参考",IF(OR(AND(ISNUMBER(D54),ABS(N(D54)-F54)&gt;H54),AND(ISNUMBER(E54),ABS(N(E54)-F54)&gt;H54)),"不一致","一致")))</f>
        <v>一致</v>
      </c>
      <c r="J54" s="22" t="s">
        <v>562</v>
      </c>
      <c r="K54" s="22" t="s">
        <v>165</v>
      </c>
    </row>
    <row r="55" customFormat="false" ht="15" hidden="false" customHeight="true" outlineLevel="0" collapsed="false">
      <c r="A55" s="10" t="n">
        <v>51</v>
      </c>
      <c r="B55" s="21" t="s">
        <v>548</v>
      </c>
      <c r="C55" s="21" t="s">
        <v>563</v>
      </c>
      <c r="D55" s="31" t="n">
        <v>4.53</v>
      </c>
      <c r="E55" s="31" t="n">
        <v>4.53</v>
      </c>
      <c r="F55" s="32" t="n">
        <f aca="false">ROUNDDOWN((F53/F52-1)*100,2)</f>
        <v>4.53</v>
      </c>
      <c r="G55" s="22" t="s">
        <v>564</v>
      </c>
      <c r="H55" s="22" t="n">
        <v>0.001</v>
      </c>
      <c r="I55" s="23" t="str">
        <f aca="false">IF(F55="","—",IF(COUNT(D55,E55)=0,"参考",IF(OR(AND(ISNUMBER(D55),ABS(N(D55)-F55)&gt;H55),AND(ISNUMBER(E55),ABS(N(E55)-F55)&gt;H55)),"不一致","一致")))</f>
        <v>一致</v>
      </c>
      <c r="J55" s="21" t="s">
        <v>565</v>
      </c>
      <c r="K55" s="22" t="s">
        <v>165</v>
      </c>
    </row>
    <row r="56" customFormat="false" ht="15" hidden="false" customHeight="true" outlineLevel="0" collapsed="false">
      <c r="A56" s="10" t="n">
        <v>52</v>
      </c>
      <c r="B56" s="21" t="s">
        <v>548</v>
      </c>
      <c r="C56" s="21" t="s">
        <v>566</v>
      </c>
      <c r="D56" s="31" t="n">
        <v>4.06</v>
      </c>
      <c r="E56" s="31" t="n">
        <v>4.06</v>
      </c>
      <c r="F56" s="32" t="n">
        <f aca="false">ROUNDDOWN(((F54/F52)^(1/3)-1)*100,2)</f>
        <v>4.06</v>
      </c>
      <c r="G56" s="22" t="s">
        <v>564</v>
      </c>
      <c r="H56" s="22" t="n">
        <v>0.001</v>
      </c>
      <c r="I56" s="23" t="str">
        <f aca="false">IF(F56="","—",IF(COUNT(D56,E56)=0,"参考",IF(OR(AND(ISNUMBER(D56),ABS(N(D56)-F56)&gt;H56),AND(ISNUMBER(E56),ABS(N(E56)-F56)&gt;H56)),"不一致","一致")))</f>
        <v>一致</v>
      </c>
      <c r="J56" s="21" t="s">
        <v>567</v>
      </c>
      <c r="K56" s="22" t="s">
        <v>165</v>
      </c>
    </row>
    <row r="57" customFormat="false" ht="15" hidden="false" customHeight="true" outlineLevel="0" collapsed="false">
      <c r="A57" s="10" t="n">
        <v>53</v>
      </c>
      <c r="B57" s="21" t="s">
        <v>548</v>
      </c>
      <c r="C57" s="21" t="s">
        <v>568</v>
      </c>
      <c r="D57" s="31" t="n">
        <v>5.88</v>
      </c>
      <c r="E57" s="31" t="n">
        <v>5.88</v>
      </c>
      <c r="F57" s="32" t="n">
        <f aca="false">ROUNDDOWN(((F50/F47)^(1/3)-1)*100,2)</f>
        <v>5.88</v>
      </c>
      <c r="G57" s="22" t="s">
        <v>564</v>
      </c>
      <c r="H57" s="22" t="n">
        <v>0.001</v>
      </c>
      <c r="I57" s="23" t="str">
        <f aca="false">IF(F57="","—",IF(COUNT(D57,E57)=0,"参考",IF(OR(AND(ISNUMBER(D57),ABS(N(D57)-F57)&gt;H57),AND(ISNUMBER(E57),ABS(N(E57)-F57)&gt;H57)),"不一致","一致")))</f>
        <v>一致</v>
      </c>
      <c r="J57" s="22"/>
      <c r="K57" s="22" t="s">
        <v>165</v>
      </c>
    </row>
    <row r="58" customFormat="false" ht="27.75" hidden="false" customHeight="true" outlineLevel="0" collapsed="false">
      <c r="A58" s="10" t="n">
        <v>54</v>
      </c>
      <c r="B58" s="21" t="s">
        <v>548</v>
      </c>
      <c r="C58" s="22" t="s">
        <v>569</v>
      </c>
      <c r="D58" s="27" t="n">
        <v>460000000</v>
      </c>
      <c r="E58" s="27"/>
      <c r="F58" s="28" t="n">
        <f aca="false">11966744064-11506484677</f>
        <v>460259387</v>
      </c>
      <c r="G58" s="21" t="s">
        <v>513</v>
      </c>
      <c r="H58" s="22" t="n">
        <v>1000000</v>
      </c>
      <c r="I58" s="23" t="str">
        <f aca="false">IF(F58="","—",IF(COUNT(D58,E58)=0,"参考",IF(OR(AND(ISNUMBER(D58),ABS(N(D58)-F58)&gt;H58),AND(ISNUMBER(E58),ABS(N(E58)-F58)&gt;H58)),"不一致","一致")))</f>
        <v>一致</v>
      </c>
      <c r="J58" s="21" t="s">
        <v>570</v>
      </c>
      <c r="K58" s="22" t="s">
        <v>543</v>
      </c>
    </row>
    <row r="59" customFormat="false" ht="27.75" hidden="false" customHeight="true" outlineLevel="0" collapsed="false">
      <c r="A59" s="10" t="n">
        <v>55</v>
      </c>
      <c r="B59" s="21" t="s">
        <v>548</v>
      </c>
      <c r="C59" s="22" t="s">
        <v>571</v>
      </c>
      <c r="D59" s="27" t="n">
        <v>330000000</v>
      </c>
      <c r="E59" s="27"/>
      <c r="F59" s="28" t="n">
        <f aca="false">11966744064-11640761439</f>
        <v>325982625</v>
      </c>
      <c r="G59" s="21" t="s">
        <v>513</v>
      </c>
      <c r="H59" s="22" t="n">
        <v>5000000</v>
      </c>
      <c r="I59" s="23" t="str">
        <f aca="false">IF(F59="","—",IF(COUNT(D59,E59)=0,"参考",IF(OR(AND(ISNUMBER(D59),ABS(N(D59)-F59)&gt;H59),AND(ISNUMBER(E59),ABS(N(E59)-F59)&gt;H59)),"不一致","一致")))</f>
        <v>一致</v>
      </c>
      <c r="J59" s="22"/>
      <c r="K59" s="22" t="s">
        <v>165</v>
      </c>
    </row>
    <row r="60" customFormat="false" ht="15" hidden="false" customHeight="true" outlineLevel="0" collapsed="false">
      <c r="A60" s="10" t="n">
        <v>56</v>
      </c>
      <c r="B60" s="21" t="s">
        <v>548</v>
      </c>
      <c r="C60" s="21" t="s">
        <v>572</v>
      </c>
      <c r="D60" s="33" t="n">
        <v>0.905</v>
      </c>
      <c r="E60" s="33" t="n">
        <v>0.905</v>
      </c>
      <c r="F60" s="34" t="n">
        <f aca="false">ROUND(10413368633/11506484677,4)</f>
        <v>0.905</v>
      </c>
      <c r="G60" s="22" t="s">
        <v>165</v>
      </c>
      <c r="H60" s="22" t="n">
        <v>5E-005</v>
      </c>
      <c r="I60" s="23" t="str">
        <f aca="false">IF(F60="","—",IF(COUNT(D60,E60)=0,"参考",IF(OR(AND(ISNUMBER(D60),ABS(N(D60)-F60)&gt;H60),AND(ISNUMBER(E60),ABS(N(E60)-F60)&gt;H60)),"不一致","一致")))</f>
        <v>一致</v>
      </c>
      <c r="J60" s="22"/>
      <c r="K60" s="22" t="s">
        <v>165</v>
      </c>
    </row>
    <row r="61" customFormat="false" ht="15" hidden="false" customHeight="true" outlineLevel="0" collapsed="false">
      <c r="A61" s="10" t="n">
        <v>57</v>
      </c>
      <c r="B61" s="21" t="s">
        <v>548</v>
      </c>
      <c r="C61" s="21" t="s">
        <v>573</v>
      </c>
      <c r="D61" s="33" t="n">
        <v>0.8975</v>
      </c>
      <c r="E61" s="33" t="n">
        <v>0.8975</v>
      </c>
      <c r="F61" s="34" t="n">
        <f aca="false">ROUND(11616549266/12943230380,4)</f>
        <v>0.8975</v>
      </c>
      <c r="G61" s="22" t="s">
        <v>165</v>
      </c>
      <c r="H61" s="22" t="n">
        <v>5E-005</v>
      </c>
      <c r="I61" s="23" t="str">
        <f aca="false">IF(F61="","—",IF(COUNT(D61,E61)=0,"参考",IF(OR(AND(ISNUMBER(D61),ABS(N(D61)-F61)&gt;H61),AND(ISNUMBER(E61),ABS(N(E61)-F61)&gt;H61)),"不一致","一致")))</f>
        <v>一致</v>
      </c>
      <c r="J61" s="22"/>
      <c r="K61" s="22" t="s">
        <v>574</v>
      </c>
    </row>
    <row r="62" customFormat="false" ht="15" hidden="false" customHeight="true" outlineLevel="0" collapsed="false">
      <c r="A62" s="10" t="n">
        <v>58</v>
      </c>
      <c r="B62" s="21" t="s">
        <v>548</v>
      </c>
      <c r="C62" s="21" t="s">
        <v>575</v>
      </c>
      <c r="D62" s="27" t="n">
        <v>116319131</v>
      </c>
      <c r="E62" s="27" t="n">
        <v>116319131</v>
      </c>
      <c r="F62" s="28" t="n">
        <f aca="false">330603724-214284593</f>
        <v>116319131</v>
      </c>
      <c r="G62" s="21" t="s">
        <v>513</v>
      </c>
      <c r="H62" s="22" t="n">
        <v>0</v>
      </c>
      <c r="I62" s="23" t="str">
        <f aca="false">IF(F62="","—",IF(COUNT(D62,E62)=0,"参考",IF(OR(AND(ISNUMBER(D62),ABS(N(D62)-F62)&gt;H62),AND(ISNUMBER(E62),ABS(N(E62)-F62)&gt;H62)),"不一致","一致")))</f>
        <v>一致</v>
      </c>
      <c r="J62" s="22"/>
      <c r="K62" s="22" t="s">
        <v>165</v>
      </c>
    </row>
    <row r="63" customFormat="false" ht="15" hidden="false" customHeight="true" outlineLevel="0" collapsed="false">
      <c r="A63" s="10" t="n">
        <v>59</v>
      </c>
      <c r="B63" s="21" t="s">
        <v>548</v>
      </c>
      <c r="C63" s="21" t="s">
        <v>576</v>
      </c>
      <c r="D63" s="33" t="n">
        <v>0.0183</v>
      </c>
      <c r="E63" s="33"/>
      <c r="F63" s="34" t="n">
        <f aca="false">ROUND(204823050/11168904537,4)</f>
        <v>0.0183</v>
      </c>
      <c r="G63" s="22" t="s">
        <v>165</v>
      </c>
      <c r="H63" s="22" t="n">
        <v>5E-005</v>
      </c>
      <c r="I63" s="23" t="str">
        <f aca="false">IF(F63="","—",IF(COUNT(D63,E63)=0,"参考",IF(OR(AND(ISNUMBER(D63),ABS(N(D63)-F63)&gt;H63),AND(ISNUMBER(E63),ABS(N(E63)-F63)&gt;H63)),"不一致","一致")))</f>
        <v>一致</v>
      </c>
      <c r="J63" s="22"/>
      <c r="K63" s="22" t="s">
        <v>165</v>
      </c>
    </row>
    <row r="64" customFormat="false" ht="15" hidden="false" customHeight="true" outlineLevel="0" collapsed="false">
      <c r="A64" s="10" t="n">
        <v>60</v>
      </c>
      <c r="B64" s="21" t="s">
        <v>548</v>
      </c>
      <c r="C64" s="21" t="s">
        <v>577</v>
      </c>
      <c r="D64" s="39" t="n">
        <v>0.094</v>
      </c>
      <c r="E64" s="39"/>
      <c r="F64" s="40" t="n">
        <f aca="false">ROUND(1051124277/11168904537,3)</f>
        <v>0.094</v>
      </c>
      <c r="G64" s="22" t="s">
        <v>165</v>
      </c>
      <c r="H64" s="22" t="n">
        <v>0.0005</v>
      </c>
      <c r="I64" s="23" t="str">
        <f aca="false">IF(F64="","—",IF(COUNT(D64,E64)=0,"参考",IF(OR(AND(ISNUMBER(D64),ABS(N(D64)-F64)&gt;H64),AND(ISNUMBER(E64),ABS(N(E64)-F64)&gt;H64)),"不一致","一致")))</f>
        <v>一致</v>
      </c>
      <c r="J64" s="22"/>
      <c r="K64" s="22" t="s">
        <v>165</v>
      </c>
    </row>
    <row r="65" customFormat="false" ht="15" hidden="false" customHeight="true" outlineLevel="0" collapsed="false">
      <c r="A65" s="10" t="n">
        <v>61</v>
      </c>
      <c r="B65" s="21" t="s">
        <v>548</v>
      </c>
      <c r="C65" s="21" t="s">
        <v>578</v>
      </c>
      <c r="D65" s="39" t="n">
        <v>0.1</v>
      </c>
      <c r="E65" s="39"/>
      <c r="F65" s="40" t="n">
        <f aca="false">ROUND(1168679639/11640761439,3)</f>
        <v>0.1</v>
      </c>
      <c r="G65" s="22" t="s">
        <v>165</v>
      </c>
      <c r="H65" s="22" t="n">
        <v>0.0005</v>
      </c>
      <c r="I65" s="23" t="str">
        <f aca="false">IF(F65="","—",IF(COUNT(D65,E65)=0,"参考",IF(OR(AND(ISNUMBER(D65),ABS(N(D65)-F65)&gt;H65),AND(ISNUMBER(E65),ABS(N(E65)-F65)&gt;H65)),"不一致","一致")))</f>
        <v>一致</v>
      </c>
      <c r="J65" s="22"/>
      <c r="K65" s="22" t="s">
        <v>165</v>
      </c>
    </row>
    <row r="66" customFormat="false" ht="27.75" hidden="false" customHeight="true" outlineLevel="0" collapsed="false">
      <c r="A66" s="10" t="n">
        <v>62</v>
      </c>
      <c r="B66" s="21" t="s">
        <v>548</v>
      </c>
      <c r="C66" s="21" t="s">
        <v>579</v>
      </c>
      <c r="D66" s="39" t="n">
        <v>0.834</v>
      </c>
      <c r="E66" s="39"/>
      <c r="F66" s="40" t="n">
        <f aca="false">ROUND(9320/11168,3)</f>
        <v>0.835</v>
      </c>
      <c r="G66" s="22" t="s">
        <v>165</v>
      </c>
      <c r="H66" s="22" t="n">
        <v>0.0011</v>
      </c>
      <c r="I66" s="23" t="str">
        <f aca="false">IF(F66="","—",IF(COUNT(D66,E66)=0,"参考",IF(OR(AND(ISNUMBER(D66),ABS(N(D66)-F66)&gt;H66),AND(ISNUMBER(E66),ABS(N(E66)-F66)&gt;H66)),"不一致","一致")))</f>
        <v>一致</v>
      </c>
      <c r="J66" s="22" t="s">
        <v>580</v>
      </c>
      <c r="K66" s="22" t="s">
        <v>581</v>
      </c>
    </row>
    <row r="67" customFormat="false" ht="15" hidden="false" customHeight="true" outlineLevel="0" collapsed="false">
      <c r="A67" s="10" t="n">
        <v>63</v>
      </c>
      <c r="B67" s="21" t="s">
        <v>548</v>
      </c>
      <c r="C67" s="21" t="s">
        <v>582</v>
      </c>
      <c r="D67" s="39" t="n">
        <v>0.13</v>
      </c>
      <c r="E67" s="39"/>
      <c r="F67" s="40" t="n">
        <f aca="false">ROUND(1463/11168.9,3)</f>
        <v>0.131</v>
      </c>
      <c r="G67" s="22" t="s">
        <v>165</v>
      </c>
      <c r="H67" s="22" t="n">
        <v>0.0004</v>
      </c>
      <c r="I67" s="23" t="str">
        <f aca="false">IF(F67="","—",IF(COUNT(D67,E67)=0,"参考",IF(OR(AND(ISNUMBER(D67),ABS(N(D67)-F67)&gt;H67),AND(ISNUMBER(E67),ABS(N(E67)-F67)&gt;H67)),"不一致","一致")))</f>
        <v>不一致</v>
      </c>
      <c r="J67" s="22" t="s">
        <v>583</v>
      </c>
      <c r="K67" s="22" t="s">
        <v>581</v>
      </c>
    </row>
    <row r="68" customFormat="false" ht="15" hidden="false" customHeight="true" outlineLevel="0" collapsed="false">
      <c r="A68" s="10" t="n">
        <v>64</v>
      </c>
      <c r="B68" s="21" t="s">
        <v>548</v>
      </c>
      <c r="C68" s="21" t="s">
        <v>584</v>
      </c>
      <c r="D68" s="39" t="n">
        <v>0.034</v>
      </c>
      <c r="E68" s="39"/>
      <c r="F68" s="40" t="n">
        <f aca="false">ROUND(385/11168,3)</f>
        <v>0.034</v>
      </c>
      <c r="G68" s="22" t="s">
        <v>165</v>
      </c>
      <c r="H68" s="22" t="n">
        <v>0.0004</v>
      </c>
      <c r="I68" s="23" t="str">
        <f aca="false">IF(F68="","—",IF(COUNT(D68,E68)=0,"参考",IF(OR(AND(ISNUMBER(D68),ABS(N(D68)-F68)&gt;H68),AND(ISNUMBER(E68),ABS(N(E68)-F68)&gt;H68)),"不一致","一致")))</f>
        <v>一致</v>
      </c>
      <c r="J68" s="22" t="s">
        <v>585</v>
      </c>
      <c r="K68" s="22" t="s">
        <v>165</v>
      </c>
    </row>
    <row r="69" customFormat="false" ht="27.75" hidden="false" customHeight="true" outlineLevel="0" collapsed="false">
      <c r="A69" s="10" t="n">
        <v>65</v>
      </c>
      <c r="B69" s="21" t="s">
        <v>548</v>
      </c>
      <c r="C69" s="22" t="s">
        <v>586</v>
      </c>
      <c r="D69" s="35" t="n">
        <v>0.13</v>
      </c>
      <c r="E69" s="35"/>
      <c r="F69" s="36" t="n">
        <f aca="false">ROUND(1400/11168.9,2)</f>
        <v>0.13</v>
      </c>
      <c r="G69" s="22" t="s">
        <v>165</v>
      </c>
      <c r="H69" s="22" t="n">
        <v>0.005</v>
      </c>
      <c r="I69" s="23" t="str">
        <f aca="false">IF(F69="","—",IF(COUNT(D69,E69)=0,"参考",IF(OR(AND(ISNUMBER(D69),ABS(N(D69)-F69)&gt;H69),AND(ISNUMBER(E69),ABS(N(E69)-F69)&gt;H69)),"不一致","一致")))</f>
        <v>一致</v>
      </c>
      <c r="J69" s="21" t="s">
        <v>587</v>
      </c>
      <c r="K69" s="22" t="s">
        <v>165</v>
      </c>
    </row>
    <row r="70" customFormat="false" ht="27.75" hidden="false" customHeight="true" outlineLevel="0" collapsed="false">
      <c r="A70" s="10" t="n">
        <v>66</v>
      </c>
      <c r="B70" s="21" t="s">
        <v>588</v>
      </c>
      <c r="C70" s="22" t="s">
        <v>589</v>
      </c>
      <c r="D70" s="27" t="n">
        <v>4319298</v>
      </c>
      <c r="E70" s="27" t="n">
        <v>4319298</v>
      </c>
      <c r="F70" s="28" t="n">
        <f aca="false">ROUND(717003483/166,0)</f>
        <v>4319298</v>
      </c>
      <c r="G70" s="21" t="s">
        <v>513</v>
      </c>
      <c r="H70" s="22" t="n">
        <v>0</v>
      </c>
      <c r="I70" s="23" t="str">
        <f aca="false">IF(F70="","—",IF(COUNT(D70,E70)=0,"参考",IF(OR(AND(ISNUMBER(D70),ABS(N(D70)-F70)&gt;H70),AND(ISNUMBER(E70),ABS(N(E70)-F70)&gt;H70)),"不一致","一致")))</f>
        <v>一致</v>
      </c>
      <c r="J70" s="22" t="s">
        <v>590</v>
      </c>
      <c r="K70" s="22" t="s">
        <v>165</v>
      </c>
    </row>
    <row r="71" customFormat="false" ht="15" hidden="false" customHeight="true" outlineLevel="0" collapsed="false">
      <c r="A71" s="10" t="n">
        <v>67</v>
      </c>
      <c r="B71" s="21" t="s">
        <v>588</v>
      </c>
      <c r="C71" s="22" t="s">
        <v>591</v>
      </c>
      <c r="D71" s="27" t="n">
        <v>4449766</v>
      </c>
      <c r="E71" s="27" t="n">
        <v>4449766</v>
      </c>
      <c r="F71" s="28" t="n">
        <f aca="false">ROUND(787608582/177,0)</f>
        <v>4449766</v>
      </c>
      <c r="G71" s="21" t="s">
        <v>513</v>
      </c>
      <c r="H71" s="22" t="n">
        <v>0</v>
      </c>
      <c r="I71" s="23" t="str">
        <f aca="false">IF(F71="","—",IF(COUNT(D71,E71)=0,"参考",IF(OR(AND(ISNUMBER(D71),ABS(N(D71)-F71)&gt;H71),AND(ISNUMBER(E71),ABS(N(E71)-F71)&gt;H71)),"不一致","一致")))</f>
        <v>一致</v>
      </c>
      <c r="J71" s="22" t="s">
        <v>592</v>
      </c>
      <c r="K71" s="22" t="s">
        <v>165</v>
      </c>
    </row>
    <row r="72" customFormat="false" ht="15" hidden="false" customHeight="true" outlineLevel="0" collapsed="false">
      <c r="A72" s="10" t="n">
        <v>68</v>
      </c>
      <c r="B72" s="21" t="s">
        <v>588</v>
      </c>
      <c r="C72" s="22" t="s">
        <v>593</v>
      </c>
      <c r="D72" s="27" t="n">
        <v>4584175</v>
      </c>
      <c r="E72" s="27" t="n">
        <v>4584175</v>
      </c>
      <c r="F72" s="28" t="n">
        <f aca="false">ROUND(829735675/181,0)</f>
        <v>4584175</v>
      </c>
      <c r="G72" s="21" t="s">
        <v>513</v>
      </c>
      <c r="H72" s="22" t="n">
        <v>0</v>
      </c>
      <c r="I72" s="23" t="str">
        <f aca="false">IF(F72="","—",IF(COUNT(D72,E72)=0,"参考",IF(OR(AND(ISNUMBER(D72),ABS(N(D72)-F72)&gt;H72),AND(ISNUMBER(E72),ABS(N(E72)-F72)&gt;H72)),"不一致","一致")))</f>
        <v>一致</v>
      </c>
      <c r="J72" s="22" t="s">
        <v>594</v>
      </c>
      <c r="K72" s="22" t="s">
        <v>165</v>
      </c>
    </row>
    <row r="73" customFormat="false" ht="15" hidden="false" customHeight="true" outlineLevel="0" collapsed="false">
      <c r="A73" s="10" t="n">
        <v>69</v>
      </c>
      <c r="B73" s="21" t="s">
        <v>588</v>
      </c>
      <c r="C73" s="22" t="s">
        <v>595</v>
      </c>
      <c r="D73" s="27" t="n">
        <v>5085606</v>
      </c>
      <c r="E73" s="27" t="n">
        <v>5085606</v>
      </c>
      <c r="F73" s="28" t="n">
        <f aca="false">ROUND(971350746/191,0)</f>
        <v>5085606</v>
      </c>
      <c r="G73" s="21" t="s">
        <v>513</v>
      </c>
      <c r="H73" s="22" t="n">
        <v>0</v>
      </c>
      <c r="I73" s="23" t="str">
        <f aca="false">IF(F73="","—",IF(COUNT(D73,E73)=0,"参考",IF(OR(AND(ISNUMBER(D73),ABS(N(D73)-F73)&gt;H73),AND(ISNUMBER(E73),ABS(N(E73)-F73)&gt;H73)),"不一致","一致")))</f>
        <v>一致</v>
      </c>
      <c r="J73" s="22" t="s">
        <v>596</v>
      </c>
      <c r="K73" s="22" t="s">
        <v>165</v>
      </c>
    </row>
    <row r="74" customFormat="false" ht="15" hidden="false" customHeight="true" outlineLevel="0" collapsed="false">
      <c r="A74" s="10" t="n">
        <v>70</v>
      </c>
      <c r="B74" s="21" t="s">
        <v>588</v>
      </c>
      <c r="C74" s="21" t="s">
        <v>597</v>
      </c>
      <c r="D74" s="31" t="n">
        <v>3.02</v>
      </c>
      <c r="E74" s="31" t="n">
        <v>3.02</v>
      </c>
      <c r="F74" s="32" t="n">
        <f aca="false">ROUNDDOWN(((F72/F70)^(1/2)-1)*100,2)</f>
        <v>3.02</v>
      </c>
      <c r="G74" s="22" t="s">
        <v>564</v>
      </c>
      <c r="H74" s="22" t="n">
        <v>0.001</v>
      </c>
      <c r="I74" s="23" t="str">
        <f aca="false">IF(F74="","—",IF(COUNT(D74,E74)=0,"参考",IF(OR(AND(ISNUMBER(D74),ABS(N(D74)-F74)&gt;H74),AND(ISNUMBER(E74),ABS(N(E74)-F74)&gt;H74)),"不一致","一致")))</f>
        <v>一致</v>
      </c>
      <c r="J74" s="22" t="s">
        <v>598</v>
      </c>
      <c r="K74" s="22" t="s">
        <v>599</v>
      </c>
    </row>
    <row r="75" customFormat="false" ht="15" hidden="false" customHeight="true" outlineLevel="0" collapsed="false">
      <c r="A75" s="10" t="n">
        <v>71</v>
      </c>
      <c r="B75" s="21" t="s">
        <v>588</v>
      </c>
      <c r="C75" s="21" t="s">
        <v>600</v>
      </c>
      <c r="D75" s="31" t="n">
        <v>3.52</v>
      </c>
      <c r="E75" s="31" t="n">
        <v>3.52</v>
      </c>
      <c r="F75" s="32" t="n">
        <f aca="false">ROUNDDOWN(((F73/F72)^(1/3)-1)*100,2)</f>
        <v>3.52</v>
      </c>
      <c r="G75" s="22" t="s">
        <v>564</v>
      </c>
      <c r="H75" s="22" t="n">
        <v>0.001</v>
      </c>
      <c r="I75" s="23" t="str">
        <f aca="false">IF(F75="","—",IF(COUNT(D75,E75)=0,"参考",IF(OR(AND(ISNUMBER(D75),ABS(N(D75)-F75)&gt;H75),AND(ISNUMBER(E75),ABS(N(E75)-F75)&gt;H75)),"不一致","一致")))</f>
        <v>一致</v>
      </c>
      <c r="J75" s="21" t="s">
        <v>601</v>
      </c>
      <c r="K75" s="22" t="s">
        <v>165</v>
      </c>
    </row>
    <row r="76" customFormat="false" ht="27.75" hidden="false" customHeight="true" outlineLevel="0" collapsed="false">
      <c r="A76" s="10" t="n">
        <v>72</v>
      </c>
      <c r="B76" s="21" t="s">
        <v>588</v>
      </c>
      <c r="C76" s="21" t="s">
        <v>602</v>
      </c>
      <c r="D76" s="27" t="n">
        <v>141615071</v>
      </c>
      <c r="E76" s="27" t="n">
        <v>141615071</v>
      </c>
      <c r="F76" s="28" t="n">
        <f aca="false">971350746-829735675</f>
        <v>141615071</v>
      </c>
      <c r="G76" s="21" t="s">
        <v>513</v>
      </c>
      <c r="H76" s="22" t="n">
        <v>0</v>
      </c>
      <c r="I76" s="23" t="str">
        <f aca="false">IF(F76="","—",IF(COUNT(D76,E76)=0,"参考",IF(OR(AND(ISNUMBER(D76),ABS(N(D76)-F76)&gt;H76),AND(ISNUMBER(E76),ABS(N(E76)-F76)&gt;H76)),"不一致","一致")))</f>
        <v>一致</v>
      </c>
      <c r="J76" s="22"/>
      <c r="K76" s="22" t="s">
        <v>165</v>
      </c>
    </row>
    <row r="77" customFormat="false" ht="15" hidden="false" customHeight="true" outlineLevel="0" collapsed="false">
      <c r="A77" s="10" t="n">
        <v>73</v>
      </c>
      <c r="B77" s="21" t="s">
        <v>588</v>
      </c>
      <c r="C77" s="21" t="s">
        <v>603</v>
      </c>
      <c r="D77" s="39" t="n">
        <v>0.67</v>
      </c>
      <c r="E77" s="39"/>
      <c r="F77" s="40" t="n">
        <f aca="false">ROUND(1021940577/1525628095,3)</f>
        <v>0.67</v>
      </c>
      <c r="G77" s="22" t="s">
        <v>165</v>
      </c>
      <c r="H77" s="22" t="n">
        <v>0.0005</v>
      </c>
      <c r="I77" s="23" t="str">
        <f aca="false">IF(F77="","—",IF(COUNT(D77,E77)=0,"参考",IF(OR(AND(ISNUMBER(D77),ABS(N(D77)-F77)&gt;H77),AND(ISNUMBER(E77),ABS(N(E77)-F77)&gt;H77)),"不一致","一致")))</f>
        <v>一致</v>
      </c>
      <c r="J77" s="21" t="s">
        <v>604</v>
      </c>
      <c r="K77" s="22" t="s">
        <v>605</v>
      </c>
    </row>
    <row r="78" customFormat="false" ht="15" hidden="false" customHeight="true" outlineLevel="0" collapsed="false">
      <c r="A78" s="10" t="n">
        <v>74</v>
      </c>
      <c r="B78" s="21" t="s">
        <v>588</v>
      </c>
      <c r="C78" s="21" t="s">
        <v>606</v>
      </c>
      <c r="D78" s="39" t="n">
        <v>0.678</v>
      </c>
      <c r="E78" s="39"/>
      <c r="F78" s="40" t="n">
        <f aca="false">ROUND(1080178369/1593327430,3)</f>
        <v>0.678</v>
      </c>
      <c r="G78" s="22" t="s">
        <v>165</v>
      </c>
      <c r="H78" s="22" t="n">
        <v>0.0005</v>
      </c>
      <c r="I78" s="23" t="str">
        <f aca="false">IF(F78="","—",IF(COUNT(D78,E78)=0,"参考",IF(OR(AND(ISNUMBER(D78),ABS(N(D78)-F78)&gt;H78),AND(ISNUMBER(E78),ABS(N(E78)-F78)&gt;H78)),"不一致","一致")))</f>
        <v>一致</v>
      </c>
      <c r="J78" s="22"/>
      <c r="K78" s="22" t="s">
        <v>605</v>
      </c>
    </row>
    <row r="79" customFormat="false" ht="15" hidden="false" customHeight="true" outlineLevel="0" collapsed="false">
      <c r="A79" s="10" t="n">
        <v>75</v>
      </c>
      <c r="B79" s="21" t="s">
        <v>588</v>
      </c>
      <c r="C79" s="21" t="s">
        <v>607</v>
      </c>
      <c r="D79" s="39" t="n">
        <v>0.662</v>
      </c>
      <c r="E79" s="39"/>
      <c r="F79" s="40" t="n">
        <f aca="false">ROUND(1252619955/1891288147,3)</f>
        <v>0.662</v>
      </c>
      <c r="G79" s="22" t="s">
        <v>165</v>
      </c>
      <c r="H79" s="22" t="n">
        <v>0.0005</v>
      </c>
      <c r="I79" s="23" t="str">
        <f aca="false">IF(F79="","—",IF(COUNT(D79,E79)=0,"参考",IF(OR(AND(ISNUMBER(D79),ABS(N(D79)-F79)&gt;H79),AND(ISNUMBER(E79),ABS(N(E79)-F79)&gt;H79)),"不一致","一致")))</f>
        <v>一致</v>
      </c>
      <c r="J79" s="22"/>
      <c r="K79" s="22" t="s">
        <v>165</v>
      </c>
    </row>
    <row r="80" customFormat="false" ht="27.75" hidden="false" customHeight="true" outlineLevel="0" collapsed="false">
      <c r="A80" s="10" t="n">
        <v>76</v>
      </c>
      <c r="B80" s="21" t="s">
        <v>588</v>
      </c>
      <c r="C80" s="22" t="s">
        <v>608</v>
      </c>
      <c r="D80" s="39" t="n">
        <v>0.05</v>
      </c>
      <c r="E80" s="39"/>
      <c r="F80" s="40" t="n">
        <f aca="false">ROUND(1028861760/1021940577-1,4)</f>
        <v>0.0068</v>
      </c>
      <c r="G80" s="22" t="s">
        <v>165</v>
      </c>
      <c r="H80" s="22" t="n">
        <v>0.01</v>
      </c>
      <c r="I80" s="23" t="str">
        <f aca="false">IF(F80="","—",IF(COUNT(D80,E80)=0,"参考",IF(OR(AND(ISNUMBER(D80),ABS(N(D80)-F80)&gt;H80),AND(ISNUMBER(E80),ABS(N(E80)-F80)&gt;H80)),"不一致","一致")))</f>
        <v>不一致</v>
      </c>
      <c r="J80" s="21" t="s">
        <v>609</v>
      </c>
      <c r="K80" s="22" t="s">
        <v>599</v>
      </c>
    </row>
    <row r="81" customFormat="false" ht="27.75" hidden="false" customHeight="true" outlineLevel="0" collapsed="false">
      <c r="A81" s="10" t="n">
        <v>77</v>
      </c>
      <c r="B81" s="21" t="s">
        <v>588</v>
      </c>
      <c r="C81" s="21" t="s">
        <v>610</v>
      </c>
      <c r="D81" s="39"/>
      <c r="E81" s="39"/>
      <c r="F81" s="40" t="n">
        <f aca="false">ROUND(787608582/717003483-1,4)</f>
        <v>0.0985</v>
      </c>
      <c r="G81" s="22" t="s">
        <v>165</v>
      </c>
      <c r="H81" s="22" t="n">
        <v>0</v>
      </c>
      <c r="I81" s="23" t="str">
        <f aca="false">IF(F81="","—",IF(COUNT(D81,E81)=0,"参考",IF(OR(AND(ISNUMBER(D81),ABS(N(D81)-F81)&gt;H81),AND(ISNUMBER(E81),ABS(N(E81)-F81)&gt;H81)),"不一致","一致")))</f>
        <v>参考</v>
      </c>
      <c r="J81" s="21" t="s">
        <v>611</v>
      </c>
      <c r="K81" s="22" t="s">
        <v>599</v>
      </c>
    </row>
    <row r="82" customFormat="false" ht="15" hidden="false" customHeight="true" outlineLevel="0" collapsed="false">
      <c r="A82" s="10" t="n">
        <v>78</v>
      </c>
      <c r="B82" s="21" t="s">
        <v>588</v>
      </c>
      <c r="C82" s="21" t="s">
        <v>612</v>
      </c>
      <c r="D82" s="27" t="n">
        <v>1149</v>
      </c>
      <c r="E82" s="27"/>
      <c r="F82" s="28" t="n">
        <f aca="false">1119+30</f>
        <v>1149</v>
      </c>
      <c r="G82" s="21" t="s">
        <v>513</v>
      </c>
      <c r="H82" s="22" t="n">
        <v>0</v>
      </c>
      <c r="I82" s="23" t="str">
        <f aca="false">IF(F82="","—",IF(COUNT(D82,E82)=0,"参考",IF(OR(AND(ISNUMBER(D82),ABS(N(D82)-F82)&gt;H82),AND(ISNUMBER(E82),ABS(N(E82)-F82)&gt;H82)),"不一致","一致")))</f>
        <v>一致</v>
      </c>
      <c r="J82" s="22" t="s">
        <v>613</v>
      </c>
      <c r="K82" s="22" t="s">
        <v>165</v>
      </c>
    </row>
    <row r="83" customFormat="false" ht="27.75" hidden="false" customHeight="true" outlineLevel="0" collapsed="false">
      <c r="A83" s="10" t="n">
        <v>79</v>
      </c>
      <c r="B83" s="21" t="s">
        <v>588</v>
      </c>
      <c r="C83" s="21" t="s">
        <v>614</v>
      </c>
      <c r="D83" s="27"/>
      <c r="E83" s="27"/>
      <c r="F83" s="28" t="n">
        <f aca="false">1140-1119</f>
        <v>21</v>
      </c>
      <c r="G83" s="21" t="s">
        <v>513</v>
      </c>
      <c r="H83" s="22" t="n">
        <v>0</v>
      </c>
      <c r="I83" s="23" t="str">
        <f aca="false">IF(F83="","—",IF(COUNT(D83,E83)=0,"参考",IF(OR(AND(ISNUMBER(D83),ABS(N(D83)-F83)&gt;H83),AND(ISNUMBER(E83),ABS(N(E83)-F83)&gt;H83)),"不一致","一致")))</f>
        <v>参考</v>
      </c>
      <c r="J83" s="21" t="s">
        <v>615</v>
      </c>
      <c r="K83" s="22" t="s">
        <v>165</v>
      </c>
    </row>
    <row r="84" customFormat="false" ht="15" hidden="false" customHeight="true" outlineLevel="0" collapsed="false">
      <c r="A84" s="10" t="n">
        <v>80</v>
      </c>
      <c r="B84" s="21" t="s">
        <v>588</v>
      </c>
      <c r="C84" s="21" t="s">
        <v>616</v>
      </c>
      <c r="D84" s="39" t="n">
        <v>0.276</v>
      </c>
      <c r="E84" s="39"/>
      <c r="F84" s="40" t="n">
        <f aca="false">ROUND(1119/877-1,3)</f>
        <v>0.276</v>
      </c>
      <c r="G84" s="22" t="s">
        <v>165</v>
      </c>
      <c r="H84" s="22" t="n">
        <v>0.0005</v>
      </c>
      <c r="I84" s="23" t="str">
        <f aca="false">IF(F84="","—",IF(COUNT(D84,E84)=0,"参考",IF(OR(AND(ISNUMBER(D84),ABS(N(D84)-F84)&gt;H84),AND(ISNUMBER(E84),ABS(N(E84)-F84)&gt;H84)),"不一致","一致")))</f>
        <v>一致</v>
      </c>
      <c r="J84" s="22" t="s">
        <v>617</v>
      </c>
      <c r="K84" s="22" t="s">
        <v>165</v>
      </c>
    </row>
    <row r="85" customFormat="false" ht="27.75" hidden="false" customHeight="true" outlineLevel="0" collapsed="false">
      <c r="A85" s="10" t="n">
        <v>81</v>
      </c>
      <c r="B85" s="21" t="s">
        <v>588</v>
      </c>
      <c r="C85" s="21" t="s">
        <v>618</v>
      </c>
      <c r="D85" s="39"/>
      <c r="E85" s="39"/>
      <c r="F85" s="40" t="n">
        <f aca="false">ROUND((1119/877)^(1/5)-1,4)</f>
        <v>0.0499</v>
      </c>
      <c r="G85" s="22" t="s">
        <v>165</v>
      </c>
      <c r="H85" s="22" t="n">
        <v>0</v>
      </c>
      <c r="I85" s="23" t="str">
        <f aca="false">IF(F85="","—",IF(COUNT(D85,E85)=0,"参考",IF(OR(AND(ISNUMBER(D85),ABS(N(D85)-F85)&gt;H85),AND(ISNUMBER(E85),ABS(N(E85)-F85)&gt;H85)),"不一致","一致")))</f>
        <v>参考</v>
      </c>
      <c r="J85" s="21" t="s">
        <v>619</v>
      </c>
      <c r="K85" s="22" t="s">
        <v>620</v>
      </c>
    </row>
    <row r="86" customFormat="false" ht="15" hidden="false" customHeight="true" outlineLevel="0" collapsed="false">
      <c r="A86" s="10" t="n">
        <v>82</v>
      </c>
      <c r="B86" s="22" t="s">
        <v>621</v>
      </c>
      <c r="C86" s="22" t="s">
        <v>622</v>
      </c>
      <c r="D86" s="27" t="n">
        <v>816</v>
      </c>
      <c r="E86" s="27"/>
      <c r="F86" s="28" t="n">
        <f aca="false">ROUND(3262*0.25,0)</f>
        <v>816</v>
      </c>
      <c r="G86" s="21" t="s">
        <v>468</v>
      </c>
      <c r="H86" s="22" t="n">
        <v>0</v>
      </c>
      <c r="I86" s="23" t="str">
        <f aca="false">IF(F86="","—",IF(COUNT(D86,E86)=0,"参考",IF(OR(AND(ISNUMBER(D86),ABS(N(D86)-F86)&gt;H86),AND(ISNUMBER(E86),ABS(N(E86)-F86)&gt;H86)),"不一致","一致")))</f>
        <v>一致</v>
      </c>
      <c r="J86" s="22" t="s">
        <v>623</v>
      </c>
      <c r="K86" s="22" t="s">
        <v>165</v>
      </c>
    </row>
    <row r="87" customFormat="false" ht="15" hidden="false" customHeight="true" outlineLevel="0" collapsed="false">
      <c r="A87" s="10" t="n">
        <v>83</v>
      </c>
      <c r="B87" s="22" t="s">
        <v>621</v>
      </c>
      <c r="C87" s="22" t="s">
        <v>624</v>
      </c>
      <c r="D87" s="27" t="n">
        <v>652</v>
      </c>
      <c r="E87" s="27"/>
      <c r="F87" s="28" t="n">
        <f aca="false">ROUND(3262*0.2,0)</f>
        <v>652</v>
      </c>
      <c r="G87" s="21" t="s">
        <v>468</v>
      </c>
      <c r="H87" s="22" t="n">
        <v>0</v>
      </c>
      <c r="I87" s="23" t="str">
        <f aca="false">IF(F87="","—",IF(COUNT(D87,E87)=0,"参考",IF(OR(AND(ISNUMBER(D87),ABS(N(D87)-F87)&gt;H87),AND(ISNUMBER(E87),ABS(N(E87)-F87)&gt;H87)),"不一致","一致")))</f>
        <v>一致</v>
      </c>
      <c r="J87" s="22" t="s">
        <v>625</v>
      </c>
      <c r="K87" s="22" t="s">
        <v>165</v>
      </c>
    </row>
    <row r="88" customFormat="false" ht="15" hidden="false" customHeight="true" outlineLevel="0" collapsed="false">
      <c r="A88" s="10" t="n">
        <v>84</v>
      </c>
      <c r="B88" s="22" t="s">
        <v>621</v>
      </c>
      <c r="C88" s="22" t="s">
        <v>626</v>
      </c>
      <c r="D88" s="27" t="n">
        <v>489</v>
      </c>
      <c r="E88" s="27"/>
      <c r="F88" s="28" t="n">
        <f aca="false">ROUND(3262*0.15,0)</f>
        <v>489</v>
      </c>
      <c r="G88" s="21" t="s">
        <v>468</v>
      </c>
      <c r="H88" s="22" t="n">
        <v>0</v>
      </c>
      <c r="I88" s="23" t="str">
        <f aca="false">IF(F88="","—",IF(COUNT(D88,E88)=0,"参考",IF(OR(AND(ISNUMBER(D88),ABS(N(D88)-F88)&gt;H88),AND(ISNUMBER(E88),ABS(N(E88)-F88)&gt;H88)),"不一致","一致")))</f>
        <v>一致</v>
      </c>
      <c r="J88" s="22" t="s">
        <v>627</v>
      </c>
      <c r="K88" s="22" t="s">
        <v>165</v>
      </c>
    </row>
    <row r="89" customFormat="false" ht="15" hidden="false" customHeight="true" outlineLevel="0" collapsed="false">
      <c r="A89" s="10" t="n">
        <v>85</v>
      </c>
      <c r="B89" s="22" t="s">
        <v>621</v>
      </c>
      <c r="C89" s="21" t="s">
        <v>628</v>
      </c>
      <c r="D89" s="27" t="n">
        <v>3261</v>
      </c>
      <c r="E89" s="27"/>
      <c r="F89" s="28" t="n">
        <f aca="false">F86+3*F87+F88</f>
        <v>3261</v>
      </c>
      <c r="G89" s="21" t="s">
        <v>468</v>
      </c>
      <c r="H89" s="22" t="n">
        <v>0</v>
      </c>
      <c r="I89" s="23" t="str">
        <f aca="false">IF(F89="","—",IF(COUNT(D89,E89)=0,"参考",IF(OR(AND(ISNUMBER(D89),ABS(N(D89)-F89)&gt;H89),AND(ISNUMBER(E89),ABS(N(E89)-F89)&gt;H89)),"不一致","一致")))</f>
        <v>一致</v>
      </c>
      <c r="J89" s="21" t="s">
        <v>629</v>
      </c>
      <c r="K89" s="22" t="s">
        <v>165</v>
      </c>
    </row>
    <row r="90" customFormat="false" ht="15" hidden="false" customHeight="true" outlineLevel="0" collapsed="false">
      <c r="A90" s="10" t="n">
        <v>86</v>
      </c>
      <c r="B90" s="22" t="s">
        <v>621</v>
      </c>
      <c r="C90" s="22" t="s">
        <v>630</v>
      </c>
      <c r="D90" s="27" t="n">
        <v>652</v>
      </c>
      <c r="E90" s="27"/>
      <c r="F90" s="28" t="n">
        <f aca="false">8*7*12</f>
        <v>672</v>
      </c>
      <c r="G90" s="21" t="s">
        <v>631</v>
      </c>
      <c r="H90" s="22" t="n">
        <v>30</v>
      </c>
      <c r="I90" s="23" t="str">
        <f aca="false">IF(F90="","—",IF(COUNT(D90,E90)=0,"参考",IF(OR(AND(ISNUMBER(D90),ABS(N(D90)-F90)&gt;H90),AND(ISNUMBER(E90),ABS(N(E90)-F90)&gt;H90)),"不一致","一致")))</f>
        <v>一致</v>
      </c>
      <c r="J90" s="22" t="s">
        <v>632</v>
      </c>
      <c r="K90" s="22" t="s">
        <v>165</v>
      </c>
    </row>
    <row r="92" customFormat="false" ht="15" hidden="false" customHeight="false" outlineLevel="0" collapsed="false">
      <c r="A92" s="2" t="s">
        <v>633</v>
      </c>
    </row>
    <row r="93" customFormat="false" ht="15" hidden="false" customHeight="false" outlineLevel="0" collapsed="false">
      <c r="A93" s="19" t="s">
        <v>46</v>
      </c>
      <c r="B93" s="8"/>
      <c r="C93" s="8" t="s">
        <v>437</v>
      </c>
      <c r="D93" s="8" t="s">
        <v>634</v>
      </c>
      <c r="E93" s="8" t="s">
        <v>441</v>
      </c>
      <c r="F93" s="8"/>
      <c r="G93" s="8"/>
      <c r="H93" s="8"/>
      <c r="I93" s="8"/>
      <c r="J93" s="8" t="s">
        <v>635</v>
      </c>
      <c r="K93" s="8" t="s">
        <v>445</v>
      </c>
    </row>
    <row r="94" customFormat="false" ht="18" hidden="false" customHeight="true" outlineLevel="0" collapsed="false">
      <c r="A94" s="10" t="n">
        <v>1</v>
      </c>
      <c r="B94" s="22"/>
      <c r="C94" s="22" t="s">
        <v>636</v>
      </c>
      <c r="D94" s="27" t="n">
        <v>150000</v>
      </c>
      <c r="E94" s="21" t="s">
        <v>637</v>
      </c>
      <c r="F94" s="22"/>
      <c r="G94" s="22"/>
      <c r="H94" s="22"/>
      <c r="I94" s="22"/>
      <c r="J94" s="21" t="s">
        <v>638</v>
      </c>
      <c r="K94" s="22" t="s">
        <v>543</v>
      </c>
    </row>
    <row r="95" customFormat="false" ht="18" hidden="false" customHeight="true" outlineLevel="0" collapsed="false">
      <c r="A95" s="10" t="n">
        <v>2</v>
      </c>
      <c r="B95" s="22"/>
      <c r="C95" s="22" t="s">
        <v>639</v>
      </c>
      <c r="D95" s="27" t="n">
        <v>100000</v>
      </c>
      <c r="E95" s="21" t="s">
        <v>637</v>
      </c>
      <c r="F95" s="22"/>
      <c r="G95" s="22"/>
      <c r="H95" s="22"/>
      <c r="I95" s="22"/>
      <c r="J95" s="21" t="s">
        <v>552</v>
      </c>
      <c r="K95" s="22" t="s">
        <v>543</v>
      </c>
    </row>
    <row r="96" customFormat="false" ht="18" hidden="false" customHeight="true" outlineLevel="0" collapsed="false">
      <c r="A96" s="10" t="n">
        <v>3</v>
      </c>
      <c r="B96" s="22"/>
      <c r="C96" s="21" t="s">
        <v>640</v>
      </c>
      <c r="D96" s="27" t="n">
        <v>245</v>
      </c>
      <c r="E96" s="21" t="s">
        <v>641</v>
      </c>
      <c r="F96" s="22"/>
      <c r="G96" s="22"/>
      <c r="H96" s="22"/>
      <c r="I96" s="22"/>
      <c r="J96" s="21" t="s">
        <v>642</v>
      </c>
      <c r="K96" s="22" t="s">
        <v>543</v>
      </c>
    </row>
    <row r="97" customFormat="false" ht="18" hidden="false" customHeight="true" outlineLevel="0" collapsed="false">
      <c r="A97" s="10" t="n">
        <v>4</v>
      </c>
      <c r="B97" s="22"/>
      <c r="C97" s="21" t="s">
        <v>643</v>
      </c>
      <c r="D97" s="28" t="n">
        <f aca="false">(D94+D95)/2*D96</f>
        <v>30625000</v>
      </c>
      <c r="E97" s="21" t="s">
        <v>644</v>
      </c>
      <c r="F97" s="22"/>
      <c r="G97" s="22"/>
      <c r="H97" s="22"/>
      <c r="I97" s="22"/>
      <c r="J97" s="22" t="s">
        <v>645</v>
      </c>
      <c r="K97" s="22" t="s">
        <v>543</v>
      </c>
    </row>
    <row r="98" customFormat="false" ht="18" hidden="false" customHeight="true" outlineLevel="0" collapsed="false">
      <c r="A98" s="10" t="n">
        <v>5</v>
      </c>
      <c r="B98" s="22"/>
      <c r="C98" s="22" t="s">
        <v>646</v>
      </c>
      <c r="D98" s="41" t="n">
        <f aca="false">1400000000/D97</f>
        <v>45.7142857142857</v>
      </c>
      <c r="E98" s="21" t="s">
        <v>647</v>
      </c>
      <c r="F98" s="22"/>
      <c r="G98" s="22"/>
      <c r="H98" s="22"/>
      <c r="I98" s="22"/>
      <c r="J98" s="22" t="s">
        <v>648</v>
      </c>
      <c r="K98" s="22" t="s">
        <v>543</v>
      </c>
    </row>
    <row r="99" customFormat="false" ht="18" hidden="false" customHeight="true" outlineLevel="0" collapsed="false">
      <c r="A99" s="10" t="n">
        <v>6</v>
      </c>
      <c r="B99" s="22"/>
      <c r="C99" s="21" t="s">
        <v>649</v>
      </c>
      <c r="D99" s="27" t="n">
        <v>8000000</v>
      </c>
      <c r="E99" s="21" t="s">
        <v>644</v>
      </c>
      <c r="F99" s="22"/>
      <c r="G99" s="22"/>
      <c r="H99" s="22"/>
      <c r="I99" s="22"/>
      <c r="J99" s="21" t="s">
        <v>650</v>
      </c>
      <c r="K99" s="22" t="s">
        <v>543</v>
      </c>
    </row>
    <row r="100" customFormat="false" ht="18" hidden="false" customHeight="true" outlineLevel="0" collapsed="false">
      <c r="A100" s="10" t="n">
        <v>7</v>
      </c>
      <c r="B100" s="22"/>
      <c r="C100" s="21" t="s">
        <v>651</v>
      </c>
      <c r="D100" s="40" t="n">
        <f aca="false">D99/D97</f>
        <v>0.261224489795918</v>
      </c>
      <c r="E100" s="22" t="s">
        <v>165</v>
      </c>
      <c r="F100" s="22"/>
      <c r="G100" s="22"/>
      <c r="H100" s="22"/>
      <c r="I100" s="22"/>
      <c r="J100" s="21" t="s">
        <v>652</v>
      </c>
      <c r="K100" s="22" t="s">
        <v>543</v>
      </c>
    </row>
    <row r="101" customFormat="false" ht="18" hidden="false" customHeight="true" outlineLevel="0" collapsed="false">
      <c r="A101" s="10" t="n">
        <v>8</v>
      </c>
      <c r="B101" s="22"/>
      <c r="C101" s="21" t="s">
        <v>653</v>
      </c>
      <c r="D101" s="28" t="n">
        <f aca="false">(D97+D99)/D96</f>
        <v>157653.06122449</v>
      </c>
      <c r="E101" s="21" t="s">
        <v>637</v>
      </c>
      <c r="F101" s="22"/>
      <c r="G101" s="22"/>
      <c r="H101" s="22"/>
      <c r="I101" s="22"/>
      <c r="J101" s="22"/>
      <c r="K101" s="22" t="s">
        <v>543</v>
      </c>
    </row>
    <row r="102" customFormat="false" ht="18" hidden="false" customHeight="true" outlineLevel="0" collapsed="false">
      <c r="A102" s="10" t="n">
        <v>9</v>
      </c>
      <c r="B102" s="22"/>
      <c r="C102" s="21" t="s">
        <v>654</v>
      </c>
      <c r="D102" s="28" t="n">
        <f aca="false">150*1050</f>
        <v>157500</v>
      </c>
      <c r="E102" s="21" t="s">
        <v>637</v>
      </c>
      <c r="F102" s="22"/>
      <c r="G102" s="22"/>
      <c r="H102" s="22"/>
      <c r="I102" s="22"/>
      <c r="J102" s="21" t="s">
        <v>655</v>
      </c>
      <c r="K102" s="22" t="s">
        <v>543</v>
      </c>
    </row>
    <row r="103" customFormat="false" ht="18" hidden="false" customHeight="true" outlineLevel="0" collapsed="false">
      <c r="A103" s="10" t="n">
        <v>10</v>
      </c>
      <c r="B103" s="22"/>
      <c r="C103" s="21" t="s">
        <v>443</v>
      </c>
      <c r="D103" s="28" t="str">
        <f aca="false">IF(D101&gt;D102,"最大能力を超過（能力の根拠が必要）","範囲内")</f>
        <v>最大能力を超過（能力の根拠が必要）</v>
      </c>
      <c r="E103" s="22"/>
      <c r="F103" s="22"/>
      <c r="G103" s="22"/>
      <c r="H103" s="22"/>
      <c r="I103" s="22"/>
      <c r="J103" s="21" t="s">
        <v>656</v>
      </c>
      <c r="K103" s="22" t="s">
        <v>543</v>
      </c>
    </row>
    <row r="104" customFormat="false" ht="18" hidden="false" customHeight="true" outlineLevel="0" collapsed="false">
      <c r="A104" s="10" t="n">
        <v>11</v>
      </c>
      <c r="B104" s="22"/>
      <c r="C104" s="22" t="s">
        <v>657</v>
      </c>
      <c r="D104" s="40" t="n">
        <f aca="false">460259387/1400000000</f>
        <v>0.328756705</v>
      </c>
      <c r="E104" s="22" t="s">
        <v>165</v>
      </c>
      <c r="F104" s="22"/>
      <c r="G104" s="22"/>
      <c r="H104" s="22"/>
      <c r="I104" s="22"/>
      <c r="J104" s="21" t="s">
        <v>658</v>
      </c>
      <c r="K104" s="22" t="s">
        <v>543</v>
      </c>
    </row>
    <row r="106" customFormat="false" ht="15" hidden="false" customHeight="false" outlineLevel="0" collapsed="false">
      <c r="A106" s="2" t="s">
        <v>659</v>
      </c>
    </row>
    <row r="107" customFormat="false" ht="15" hidden="false" customHeight="false" outlineLevel="0" collapsed="false">
      <c r="A107" s="19" t="s">
        <v>46</v>
      </c>
      <c r="B107" s="8"/>
      <c r="C107" s="8" t="s">
        <v>437</v>
      </c>
      <c r="D107" s="8" t="s">
        <v>660</v>
      </c>
      <c r="E107" s="8" t="s">
        <v>661</v>
      </c>
      <c r="F107" s="8"/>
      <c r="G107" s="8"/>
      <c r="H107" s="8"/>
      <c r="I107" s="8" t="s">
        <v>443</v>
      </c>
      <c r="J107" s="8" t="s">
        <v>662</v>
      </c>
      <c r="K107" s="8"/>
    </row>
    <row r="108" customFormat="false" ht="27.75" hidden="false" customHeight="true" outlineLevel="0" collapsed="false">
      <c r="A108" s="10" t="n">
        <v>1</v>
      </c>
      <c r="B108" s="22"/>
      <c r="C108" s="21" t="s">
        <v>663</v>
      </c>
      <c r="D108" s="42" t="n">
        <v>30</v>
      </c>
      <c r="E108" s="22" t="n">
        <f aca="false">LEN(J108)</f>
        <v>31</v>
      </c>
      <c r="F108" s="22"/>
      <c r="G108" s="22"/>
      <c r="H108" s="22"/>
      <c r="I108" s="10" t="str">
        <f aca="false">IF(ABS(E108-D108)&lt;=5,"適正","要確認")</f>
        <v>適正</v>
      </c>
      <c r="J108" s="21" t="s">
        <v>664</v>
      </c>
      <c r="K108" s="22"/>
    </row>
    <row r="109" customFormat="false" ht="65.25" hidden="false" customHeight="true" outlineLevel="0" collapsed="false">
      <c r="A109" s="10" t="n">
        <v>2</v>
      </c>
      <c r="B109" s="22"/>
      <c r="C109" s="21" t="s">
        <v>665</v>
      </c>
      <c r="D109" s="42" t="n">
        <v>100</v>
      </c>
      <c r="E109" s="22" t="n">
        <f aca="false">LEN(J109)</f>
        <v>108</v>
      </c>
      <c r="F109" s="22"/>
      <c r="G109" s="22"/>
      <c r="H109" s="22"/>
      <c r="I109" s="10" t="str">
        <f aca="false">IF(ABS(E109-D109)&lt;=15,"適正","要確認")</f>
        <v>適正</v>
      </c>
      <c r="J109" s="21" t="s">
        <v>666</v>
      </c>
      <c r="K109" s="22"/>
    </row>
  </sheetData>
  <autoFilter ref="A4:K90"/>
  <conditionalFormatting sqref="I5:I90">
    <cfRule type="cellIs" priority="2" operator="equal" aboveAverage="0" equalAverage="0" bottom="0" percent="0" rank="0" text="" dxfId="10">
      <formula>"不一致"</formula>
    </cfRule>
    <cfRule type="cellIs" priority="3" operator="equal" aboveAverage="0" equalAverage="0" bottom="0" percent="0" rank="0" text="" dxfId="11">
      <formula>"一致"</formula>
    </cfRule>
  </conditionalFormatting>
  <conditionalFormatting sqref="D94:D104">
    <cfRule type="expression" priority="4" aboveAverage="0" equalAverage="0" bottom="0" percent="0" rank="0" text="" dxfId="10">
      <formula>ISNUMBER(SEARCH("超過",D94))</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40"/>
    <col collapsed="false" customWidth="true" hidden="false" outlineLevel="0" max="4" min="4" style="0" width="10"/>
    <col collapsed="false" customWidth="true" hidden="false" outlineLevel="0" max="5" min="5" style="0" width="30"/>
    <col collapsed="false" customWidth="true" hidden="false" outlineLevel="0" max="6" min="6" style="0" width="7"/>
    <col collapsed="false" customWidth="true" hidden="false" outlineLevel="0" max="7" min="7" style="0" width="64"/>
    <col collapsed="false" customWidth="true" hidden="false" outlineLevel="0" max="8" min="8" style="0" width="16"/>
  </cols>
  <sheetData>
    <row r="1" customFormat="false" ht="15" hidden="false" customHeight="false" outlineLevel="0" collapsed="false">
      <c r="A1" s="2" t="s">
        <v>667</v>
      </c>
    </row>
    <row r="2" customFormat="false" ht="15" hidden="false" customHeight="false" outlineLevel="0" collapsed="false">
      <c r="A2" s="18" t="s">
        <v>668</v>
      </c>
    </row>
    <row r="4" customFormat="false" ht="30" hidden="false" customHeight="true" outlineLevel="0" collapsed="false">
      <c r="A4" s="8" t="s">
        <v>669</v>
      </c>
      <c r="B4" s="19" t="s">
        <v>46</v>
      </c>
      <c r="C4" s="8" t="s">
        <v>670</v>
      </c>
      <c r="D4" s="8" t="s">
        <v>671</v>
      </c>
      <c r="E4" s="8" t="s">
        <v>672</v>
      </c>
      <c r="F4" s="8" t="s">
        <v>673</v>
      </c>
      <c r="G4" s="8" t="s">
        <v>674</v>
      </c>
      <c r="H4" s="8" t="s">
        <v>445</v>
      </c>
    </row>
    <row r="5" customFormat="false" ht="27.75" hidden="false" customHeight="true" outlineLevel="0" collapsed="false">
      <c r="A5" s="21" t="s">
        <v>675</v>
      </c>
      <c r="B5" s="23" t="s">
        <v>240</v>
      </c>
      <c r="C5" s="21" t="s">
        <v>676</v>
      </c>
      <c r="D5" s="10" t="s">
        <v>677</v>
      </c>
      <c r="E5" s="21" t="s">
        <v>678</v>
      </c>
      <c r="F5" s="43" t="s">
        <v>679</v>
      </c>
      <c r="G5" s="21" t="s">
        <v>680</v>
      </c>
      <c r="H5" s="22" t="s">
        <v>681</v>
      </c>
    </row>
    <row r="6" customFormat="false" ht="27.75" hidden="false" customHeight="true" outlineLevel="0" collapsed="false">
      <c r="A6" s="21" t="s">
        <v>675</v>
      </c>
      <c r="B6" s="23" t="s">
        <v>682</v>
      </c>
      <c r="C6" s="21" t="s">
        <v>683</v>
      </c>
      <c r="D6" s="10" t="s">
        <v>677</v>
      </c>
      <c r="E6" s="22" t="s">
        <v>684</v>
      </c>
      <c r="F6" s="44" t="s">
        <v>685</v>
      </c>
      <c r="G6" s="22" t="s">
        <v>686</v>
      </c>
      <c r="H6" s="22" t="s">
        <v>574</v>
      </c>
    </row>
    <row r="7" customFormat="false" ht="27.75" hidden="false" customHeight="true" outlineLevel="0" collapsed="false">
      <c r="A7" s="21" t="s">
        <v>675</v>
      </c>
      <c r="B7" s="23" t="s">
        <v>687</v>
      </c>
      <c r="C7" s="22" t="s">
        <v>688</v>
      </c>
      <c r="D7" s="10" t="s">
        <v>677</v>
      </c>
      <c r="E7" s="22" t="s">
        <v>689</v>
      </c>
      <c r="F7" s="44" t="s">
        <v>685</v>
      </c>
      <c r="G7" s="22" t="s">
        <v>690</v>
      </c>
      <c r="H7" s="22" t="s">
        <v>691</v>
      </c>
    </row>
    <row r="8" customFormat="false" ht="27.75" hidden="false" customHeight="true" outlineLevel="0" collapsed="false">
      <c r="A8" s="21" t="s">
        <v>675</v>
      </c>
      <c r="B8" s="23" t="s">
        <v>692</v>
      </c>
      <c r="C8" s="21" t="s">
        <v>693</v>
      </c>
      <c r="D8" s="10" t="s">
        <v>677</v>
      </c>
      <c r="E8" s="22" t="s">
        <v>694</v>
      </c>
      <c r="F8" s="44" t="s">
        <v>685</v>
      </c>
      <c r="G8" s="21" t="s">
        <v>695</v>
      </c>
      <c r="H8" s="22" t="s">
        <v>165</v>
      </c>
    </row>
    <row r="9" customFormat="false" ht="27.75" hidden="false" customHeight="true" outlineLevel="0" collapsed="false">
      <c r="A9" s="21" t="s">
        <v>675</v>
      </c>
      <c r="B9" s="23" t="s">
        <v>696</v>
      </c>
      <c r="C9" s="21" t="s">
        <v>697</v>
      </c>
      <c r="D9" s="10" t="s">
        <v>677</v>
      </c>
      <c r="E9" s="21" t="s">
        <v>698</v>
      </c>
      <c r="F9" s="26" t="s">
        <v>32</v>
      </c>
      <c r="G9" s="21" t="s">
        <v>699</v>
      </c>
      <c r="H9" s="22" t="s">
        <v>700</v>
      </c>
    </row>
    <row r="10" customFormat="false" ht="27.75" hidden="false" customHeight="true" outlineLevel="0" collapsed="false">
      <c r="A10" s="21" t="s">
        <v>675</v>
      </c>
      <c r="B10" s="23" t="s">
        <v>701</v>
      </c>
      <c r="C10" s="22" t="s">
        <v>702</v>
      </c>
      <c r="D10" s="10" t="s">
        <v>703</v>
      </c>
      <c r="E10" s="22" t="s">
        <v>704</v>
      </c>
      <c r="F10" s="43" t="s">
        <v>679</v>
      </c>
      <c r="G10" s="22" t="s">
        <v>705</v>
      </c>
      <c r="H10" s="22" t="s">
        <v>165</v>
      </c>
    </row>
    <row r="11" customFormat="false" ht="27.75" hidden="false" customHeight="true" outlineLevel="0" collapsed="false">
      <c r="A11" s="21" t="s">
        <v>675</v>
      </c>
      <c r="B11" s="23" t="s">
        <v>183</v>
      </c>
      <c r="C11" s="21" t="s">
        <v>706</v>
      </c>
      <c r="D11" s="10" t="s">
        <v>677</v>
      </c>
      <c r="E11" s="21" t="s">
        <v>707</v>
      </c>
      <c r="F11" s="44" t="s">
        <v>685</v>
      </c>
      <c r="G11" s="21" t="s">
        <v>708</v>
      </c>
      <c r="H11" s="22" t="s">
        <v>709</v>
      </c>
    </row>
    <row r="12" customFormat="false" ht="27.75" hidden="false" customHeight="true" outlineLevel="0" collapsed="false">
      <c r="A12" s="21" t="s">
        <v>675</v>
      </c>
      <c r="B12" s="23" t="s">
        <v>402</v>
      </c>
      <c r="C12" s="21" t="s">
        <v>710</v>
      </c>
      <c r="D12" s="10" t="s">
        <v>677</v>
      </c>
      <c r="E12" s="22" t="s">
        <v>711</v>
      </c>
      <c r="F12" s="44" t="s">
        <v>685</v>
      </c>
      <c r="G12" s="21" t="s">
        <v>712</v>
      </c>
      <c r="H12" s="22" t="s">
        <v>713</v>
      </c>
    </row>
    <row r="13" customFormat="false" ht="27.75" hidden="false" customHeight="true" outlineLevel="0" collapsed="false">
      <c r="A13" s="22" t="s">
        <v>714</v>
      </c>
      <c r="B13" s="10" t="s">
        <v>83</v>
      </c>
      <c r="C13" s="21" t="s">
        <v>715</v>
      </c>
      <c r="D13" s="10" t="s">
        <v>677</v>
      </c>
      <c r="E13" s="21" t="s">
        <v>360</v>
      </c>
      <c r="F13" s="44" t="s">
        <v>685</v>
      </c>
      <c r="G13" s="21" t="s">
        <v>716</v>
      </c>
      <c r="H13" s="22" t="s">
        <v>717</v>
      </c>
    </row>
    <row r="14" customFormat="false" ht="27.75" hidden="false" customHeight="true" outlineLevel="0" collapsed="false">
      <c r="A14" s="22" t="s">
        <v>718</v>
      </c>
      <c r="B14" s="10" t="s">
        <v>99</v>
      </c>
      <c r="C14" s="21" t="s">
        <v>719</v>
      </c>
      <c r="D14" s="10" t="s">
        <v>677</v>
      </c>
      <c r="E14" s="22" t="s">
        <v>720</v>
      </c>
      <c r="F14" s="44" t="s">
        <v>685</v>
      </c>
      <c r="G14" s="22" t="s">
        <v>721</v>
      </c>
      <c r="H14" s="22" t="s">
        <v>722</v>
      </c>
    </row>
    <row r="15" customFormat="false" ht="27.75" hidden="false" customHeight="true" outlineLevel="0" collapsed="false">
      <c r="A15" s="22" t="s">
        <v>718</v>
      </c>
      <c r="B15" s="10" t="s">
        <v>66</v>
      </c>
      <c r="C15" s="21" t="s">
        <v>723</v>
      </c>
      <c r="D15" s="10" t="s">
        <v>677</v>
      </c>
      <c r="E15" s="22" t="s">
        <v>724</v>
      </c>
      <c r="F15" s="24" t="s">
        <v>725</v>
      </c>
      <c r="G15" s="22" t="s">
        <v>726</v>
      </c>
      <c r="H15" s="22" t="s">
        <v>727</v>
      </c>
    </row>
    <row r="16" customFormat="false" ht="27.75" hidden="false" customHeight="true" outlineLevel="0" collapsed="false">
      <c r="A16" s="22" t="s">
        <v>718</v>
      </c>
      <c r="B16" s="10" t="s">
        <v>728</v>
      </c>
      <c r="C16" s="21" t="s">
        <v>729</v>
      </c>
      <c r="D16" s="10" t="s">
        <v>677</v>
      </c>
      <c r="E16" s="22" t="s">
        <v>730</v>
      </c>
      <c r="F16" s="24" t="s">
        <v>725</v>
      </c>
      <c r="G16" s="22" t="s">
        <v>731</v>
      </c>
      <c r="H16" s="22" t="s">
        <v>732</v>
      </c>
    </row>
    <row r="17" customFormat="false" ht="27.75" hidden="false" customHeight="true" outlineLevel="0" collapsed="false">
      <c r="A17" s="22" t="s">
        <v>718</v>
      </c>
      <c r="B17" s="10" t="s">
        <v>733</v>
      </c>
      <c r="C17" s="21" t="s">
        <v>734</v>
      </c>
      <c r="D17" s="10" t="s">
        <v>677</v>
      </c>
      <c r="E17" s="22" t="s">
        <v>735</v>
      </c>
      <c r="F17" s="43" t="s">
        <v>679</v>
      </c>
      <c r="G17" s="21" t="s">
        <v>736</v>
      </c>
      <c r="H17" s="22" t="s">
        <v>165</v>
      </c>
    </row>
    <row r="18" customFormat="false" ht="27.75" hidden="false" customHeight="true" outlineLevel="0" collapsed="false">
      <c r="A18" s="22" t="s">
        <v>737</v>
      </c>
      <c r="B18" s="10" t="s">
        <v>124</v>
      </c>
      <c r="C18" s="21" t="s">
        <v>738</v>
      </c>
      <c r="D18" s="10" t="s">
        <v>677</v>
      </c>
      <c r="E18" s="22" t="s">
        <v>739</v>
      </c>
      <c r="F18" s="44" t="s">
        <v>685</v>
      </c>
      <c r="G18" s="21" t="s">
        <v>740</v>
      </c>
      <c r="H18" s="22" t="s">
        <v>741</v>
      </c>
    </row>
    <row r="19" customFormat="false" ht="27.75" hidden="false" customHeight="true" outlineLevel="0" collapsed="false">
      <c r="A19" s="22" t="s">
        <v>737</v>
      </c>
      <c r="B19" s="10" t="s">
        <v>344</v>
      </c>
      <c r="C19" s="21" t="s">
        <v>742</v>
      </c>
      <c r="D19" s="10" t="s">
        <v>703</v>
      </c>
      <c r="E19" s="22" t="s">
        <v>743</v>
      </c>
      <c r="F19" s="44" t="s">
        <v>685</v>
      </c>
      <c r="G19" s="21" t="s">
        <v>744</v>
      </c>
      <c r="H19" s="22" t="s">
        <v>745</v>
      </c>
    </row>
    <row r="20" customFormat="false" ht="40.5" hidden="false" customHeight="true" outlineLevel="0" collapsed="false">
      <c r="A20" s="22" t="s">
        <v>737</v>
      </c>
      <c r="B20" s="10" t="s">
        <v>232</v>
      </c>
      <c r="C20" s="21" t="s">
        <v>746</v>
      </c>
      <c r="D20" s="10" t="s">
        <v>703</v>
      </c>
      <c r="E20" s="22" t="s">
        <v>747</v>
      </c>
      <c r="F20" s="44" t="s">
        <v>685</v>
      </c>
      <c r="G20" s="21" t="s">
        <v>748</v>
      </c>
      <c r="H20" s="22" t="s">
        <v>749</v>
      </c>
    </row>
    <row r="21" customFormat="false" ht="27.75" hidden="false" customHeight="true" outlineLevel="0" collapsed="false">
      <c r="A21" s="22" t="s">
        <v>737</v>
      </c>
      <c r="B21" s="10" t="s">
        <v>750</v>
      </c>
      <c r="C21" s="21" t="s">
        <v>751</v>
      </c>
      <c r="D21" s="10" t="s">
        <v>703</v>
      </c>
      <c r="E21" s="22" t="s">
        <v>752</v>
      </c>
      <c r="F21" s="24" t="s">
        <v>725</v>
      </c>
      <c r="G21" s="21" t="s">
        <v>753</v>
      </c>
      <c r="H21" s="22" t="s">
        <v>543</v>
      </c>
    </row>
    <row r="22" customFormat="false" ht="40.5" hidden="false" customHeight="true" outlineLevel="0" collapsed="false">
      <c r="A22" s="22" t="s">
        <v>737</v>
      </c>
      <c r="B22" s="10" t="s">
        <v>754</v>
      </c>
      <c r="C22" s="21" t="s">
        <v>755</v>
      </c>
      <c r="D22" s="10" t="s">
        <v>677</v>
      </c>
      <c r="E22" s="22" t="s">
        <v>756</v>
      </c>
      <c r="F22" s="24" t="s">
        <v>725</v>
      </c>
      <c r="G22" s="22" t="s">
        <v>757</v>
      </c>
      <c r="H22" s="22" t="s">
        <v>691</v>
      </c>
    </row>
    <row r="23" customFormat="false" ht="27.75" hidden="false" customHeight="true" outlineLevel="0" collapsed="false">
      <c r="A23" s="22" t="s">
        <v>737</v>
      </c>
      <c r="B23" s="10" t="s">
        <v>337</v>
      </c>
      <c r="C23" s="21" t="s">
        <v>758</v>
      </c>
      <c r="D23" s="10" t="s">
        <v>677</v>
      </c>
      <c r="E23" s="22" t="s">
        <v>759</v>
      </c>
      <c r="F23" s="43" t="s">
        <v>679</v>
      </c>
      <c r="G23" s="21" t="s">
        <v>760</v>
      </c>
      <c r="H23" s="22" t="s">
        <v>761</v>
      </c>
    </row>
    <row r="24" customFormat="false" ht="27.75" hidden="false" customHeight="true" outlineLevel="0" collapsed="false">
      <c r="A24" s="22" t="s">
        <v>737</v>
      </c>
      <c r="B24" s="10" t="s">
        <v>137</v>
      </c>
      <c r="C24" s="21" t="s">
        <v>762</v>
      </c>
      <c r="D24" s="10" t="s">
        <v>703</v>
      </c>
      <c r="E24" s="22" t="s">
        <v>763</v>
      </c>
      <c r="F24" s="44" t="s">
        <v>685</v>
      </c>
      <c r="G24" s="21" t="s">
        <v>764</v>
      </c>
      <c r="H24" s="22" t="s">
        <v>765</v>
      </c>
    </row>
    <row r="25" customFormat="false" ht="27.75" hidden="false" customHeight="true" outlineLevel="0" collapsed="false">
      <c r="A25" s="22" t="s">
        <v>766</v>
      </c>
      <c r="B25" s="10" t="s">
        <v>767</v>
      </c>
      <c r="C25" s="21" t="s">
        <v>768</v>
      </c>
      <c r="D25" s="10" t="s">
        <v>703</v>
      </c>
      <c r="E25" s="22" t="s">
        <v>769</v>
      </c>
      <c r="F25" s="44" t="s">
        <v>685</v>
      </c>
      <c r="G25" s="21" t="s">
        <v>770</v>
      </c>
      <c r="H25" s="22" t="s">
        <v>771</v>
      </c>
    </row>
    <row r="26" customFormat="false" ht="15" hidden="false" customHeight="true" outlineLevel="0" collapsed="false">
      <c r="A26" s="22" t="s">
        <v>766</v>
      </c>
      <c r="B26" s="10" t="s">
        <v>772</v>
      </c>
      <c r="C26" s="21" t="s">
        <v>773</v>
      </c>
      <c r="D26" s="10" t="s">
        <v>774</v>
      </c>
      <c r="E26" s="22" t="s">
        <v>775</v>
      </c>
      <c r="F26" s="44" t="s">
        <v>685</v>
      </c>
      <c r="G26" s="22" t="s">
        <v>776</v>
      </c>
      <c r="H26" s="22" t="s">
        <v>777</v>
      </c>
    </row>
    <row r="27" customFormat="false" ht="27.75" hidden="false" customHeight="true" outlineLevel="0" collapsed="false">
      <c r="A27" s="22" t="s">
        <v>766</v>
      </c>
      <c r="B27" s="10" t="s">
        <v>778</v>
      </c>
      <c r="C27" s="21" t="s">
        <v>779</v>
      </c>
      <c r="D27" s="10" t="s">
        <v>703</v>
      </c>
      <c r="E27" s="22" t="s">
        <v>780</v>
      </c>
      <c r="F27" s="44" t="s">
        <v>685</v>
      </c>
      <c r="G27" s="21" t="s">
        <v>781</v>
      </c>
      <c r="H27" s="22" t="s">
        <v>165</v>
      </c>
    </row>
    <row r="28" customFormat="false" ht="27.75" hidden="false" customHeight="true" outlineLevel="0" collapsed="false">
      <c r="A28" s="22" t="s">
        <v>766</v>
      </c>
      <c r="B28" s="10" t="s">
        <v>782</v>
      </c>
      <c r="C28" s="21" t="s">
        <v>783</v>
      </c>
      <c r="D28" s="10" t="s">
        <v>703</v>
      </c>
      <c r="E28" s="22" t="s">
        <v>165</v>
      </c>
      <c r="F28" s="45" t="s">
        <v>784</v>
      </c>
      <c r="G28" s="21" t="s">
        <v>785</v>
      </c>
      <c r="H28" s="22" t="s">
        <v>165</v>
      </c>
    </row>
    <row r="29" customFormat="false" ht="15" hidden="false" customHeight="true" outlineLevel="0" collapsed="false">
      <c r="A29" s="22" t="s">
        <v>766</v>
      </c>
      <c r="B29" s="10" t="s">
        <v>786</v>
      </c>
      <c r="C29" s="21" t="s">
        <v>787</v>
      </c>
      <c r="D29" s="10" t="s">
        <v>774</v>
      </c>
      <c r="E29" s="22" t="s">
        <v>165</v>
      </c>
      <c r="F29" s="45" t="s">
        <v>784</v>
      </c>
      <c r="G29" s="21" t="s">
        <v>788</v>
      </c>
      <c r="H29" s="22" t="s">
        <v>165</v>
      </c>
    </row>
    <row r="30" customFormat="false" ht="15" hidden="false" customHeight="true" outlineLevel="0" collapsed="false">
      <c r="A30" s="21" t="s">
        <v>789</v>
      </c>
      <c r="B30" s="23" t="s">
        <v>790</v>
      </c>
      <c r="C30" s="21" t="s">
        <v>791</v>
      </c>
      <c r="D30" s="10" t="s">
        <v>703</v>
      </c>
      <c r="E30" s="22" t="s">
        <v>792</v>
      </c>
      <c r="F30" s="45" t="s">
        <v>784</v>
      </c>
      <c r="G30" s="21" t="s">
        <v>793</v>
      </c>
      <c r="H30" s="22" t="s">
        <v>165</v>
      </c>
    </row>
    <row r="31" customFormat="false" ht="15" hidden="false" customHeight="true" outlineLevel="0" collapsed="false">
      <c r="A31" s="21" t="s">
        <v>789</v>
      </c>
      <c r="B31" s="23" t="s">
        <v>794</v>
      </c>
      <c r="C31" s="21" t="s">
        <v>795</v>
      </c>
      <c r="D31" s="10" t="s">
        <v>703</v>
      </c>
      <c r="E31" s="22" t="s">
        <v>792</v>
      </c>
      <c r="F31" s="45" t="s">
        <v>784</v>
      </c>
      <c r="G31" s="21" t="s">
        <v>793</v>
      </c>
      <c r="H31" s="22" t="s">
        <v>165</v>
      </c>
    </row>
    <row r="32" customFormat="false" ht="40.5" hidden="false" customHeight="true" outlineLevel="0" collapsed="false">
      <c r="A32" s="21" t="s">
        <v>382</v>
      </c>
      <c r="B32" s="23" t="s">
        <v>796</v>
      </c>
      <c r="C32" s="21" t="s">
        <v>797</v>
      </c>
      <c r="D32" s="10" t="s">
        <v>677</v>
      </c>
      <c r="E32" s="22" t="s">
        <v>711</v>
      </c>
      <c r="F32" s="44" t="s">
        <v>685</v>
      </c>
      <c r="G32" s="21" t="s">
        <v>798</v>
      </c>
      <c r="H32" s="22" t="s">
        <v>799</v>
      </c>
    </row>
    <row r="33" customFormat="false" ht="27.75" hidden="false" customHeight="true" outlineLevel="0" collapsed="false">
      <c r="A33" s="21" t="s">
        <v>800</v>
      </c>
      <c r="B33" s="23" t="s">
        <v>801</v>
      </c>
      <c r="C33" s="21" t="s">
        <v>802</v>
      </c>
      <c r="D33" s="10" t="s">
        <v>703</v>
      </c>
      <c r="E33" s="22" t="s">
        <v>775</v>
      </c>
      <c r="F33" s="46" t="s">
        <v>803</v>
      </c>
      <c r="G33" s="22" t="s">
        <v>804</v>
      </c>
      <c r="H33" s="22" t="s">
        <v>777</v>
      </c>
    </row>
    <row r="34" customFormat="false" ht="15" hidden="false" customHeight="true" outlineLevel="0" collapsed="false">
      <c r="A34" s="21" t="s">
        <v>800</v>
      </c>
      <c r="B34" s="23" t="s">
        <v>805</v>
      </c>
      <c r="C34" s="21" t="s">
        <v>806</v>
      </c>
      <c r="D34" s="10" t="s">
        <v>703</v>
      </c>
      <c r="E34" s="22" t="s">
        <v>165</v>
      </c>
      <c r="F34" s="26" t="s">
        <v>32</v>
      </c>
      <c r="G34" s="21" t="s">
        <v>807</v>
      </c>
      <c r="H34" s="22" t="s">
        <v>700</v>
      </c>
    </row>
    <row r="35" customFormat="false" ht="15" hidden="false" customHeight="true" outlineLevel="0" collapsed="false">
      <c r="A35" s="21" t="s">
        <v>800</v>
      </c>
      <c r="B35" s="23" t="s">
        <v>808</v>
      </c>
      <c r="C35" s="21" t="s">
        <v>809</v>
      </c>
      <c r="D35" s="10" t="s">
        <v>703</v>
      </c>
      <c r="E35" s="22" t="s">
        <v>165</v>
      </c>
      <c r="F35" s="26" t="s">
        <v>32</v>
      </c>
      <c r="G35" s="21" t="s">
        <v>810</v>
      </c>
      <c r="H35" s="22" t="s">
        <v>700</v>
      </c>
    </row>
    <row r="36" customFormat="false" ht="27.75" hidden="false" customHeight="true" outlineLevel="0" collapsed="false">
      <c r="A36" s="21" t="s">
        <v>800</v>
      </c>
      <c r="B36" s="23" t="s">
        <v>811</v>
      </c>
      <c r="C36" s="21" t="s">
        <v>812</v>
      </c>
      <c r="D36" s="10" t="s">
        <v>774</v>
      </c>
      <c r="E36" s="22" t="s">
        <v>165</v>
      </c>
      <c r="F36" s="26" t="s">
        <v>32</v>
      </c>
      <c r="G36" s="21" t="s">
        <v>813</v>
      </c>
      <c r="H36" s="22" t="s">
        <v>700</v>
      </c>
    </row>
    <row r="37" customFormat="false" ht="27.75" hidden="false" customHeight="true" outlineLevel="0" collapsed="false">
      <c r="A37" s="21" t="s">
        <v>800</v>
      </c>
      <c r="B37" s="23" t="s">
        <v>814</v>
      </c>
      <c r="C37" s="21" t="s">
        <v>815</v>
      </c>
      <c r="D37" s="10" t="s">
        <v>774</v>
      </c>
      <c r="E37" s="22" t="s">
        <v>165</v>
      </c>
      <c r="F37" s="26" t="s">
        <v>32</v>
      </c>
      <c r="G37" s="21" t="s">
        <v>816</v>
      </c>
      <c r="H37" s="22" t="s">
        <v>700</v>
      </c>
    </row>
    <row r="38" customFormat="false" ht="15" hidden="false" customHeight="true" outlineLevel="0" collapsed="false">
      <c r="A38" s="21" t="s">
        <v>800</v>
      </c>
      <c r="B38" s="23" t="s">
        <v>817</v>
      </c>
      <c r="C38" s="21" t="s">
        <v>818</v>
      </c>
      <c r="D38" s="10" t="s">
        <v>774</v>
      </c>
      <c r="E38" s="22" t="s">
        <v>165</v>
      </c>
      <c r="F38" s="26" t="s">
        <v>32</v>
      </c>
      <c r="G38" s="21" t="s">
        <v>819</v>
      </c>
      <c r="H38" s="22" t="s">
        <v>165</v>
      </c>
    </row>
    <row r="39" customFormat="false" ht="15" hidden="false" customHeight="true" outlineLevel="0" collapsed="false">
      <c r="A39" s="21" t="s">
        <v>800</v>
      </c>
      <c r="B39" s="23" t="s">
        <v>820</v>
      </c>
      <c r="C39" s="21" t="s">
        <v>821</v>
      </c>
      <c r="D39" s="10" t="s">
        <v>774</v>
      </c>
      <c r="E39" s="22" t="s">
        <v>165</v>
      </c>
      <c r="F39" s="26" t="s">
        <v>32</v>
      </c>
      <c r="G39" s="21" t="s">
        <v>819</v>
      </c>
      <c r="H39" s="22" t="s">
        <v>165</v>
      </c>
    </row>
    <row r="40" customFormat="false" ht="15" hidden="false" customHeight="true" outlineLevel="0" collapsed="false">
      <c r="A40" s="21" t="s">
        <v>800</v>
      </c>
      <c r="B40" s="23" t="s">
        <v>822</v>
      </c>
      <c r="C40" s="21" t="s">
        <v>823</v>
      </c>
      <c r="D40" s="10" t="s">
        <v>703</v>
      </c>
      <c r="E40" s="22" t="s">
        <v>165</v>
      </c>
      <c r="F40" s="26" t="s">
        <v>32</v>
      </c>
      <c r="G40" s="21" t="s">
        <v>824</v>
      </c>
      <c r="H40" s="22" t="s">
        <v>700</v>
      </c>
    </row>
    <row r="41" customFormat="false" ht="15" hidden="false" customHeight="true" outlineLevel="0" collapsed="false">
      <c r="A41" s="21" t="s">
        <v>800</v>
      </c>
      <c r="B41" s="23" t="s">
        <v>825</v>
      </c>
      <c r="C41" s="21" t="s">
        <v>826</v>
      </c>
      <c r="D41" s="10" t="s">
        <v>774</v>
      </c>
      <c r="E41" s="22" t="s">
        <v>165</v>
      </c>
      <c r="F41" s="26" t="s">
        <v>32</v>
      </c>
      <c r="G41" s="21" t="s">
        <v>819</v>
      </c>
      <c r="H41" s="22" t="s">
        <v>165</v>
      </c>
    </row>
    <row r="42" customFormat="false" ht="15" hidden="false" customHeight="true" outlineLevel="0" collapsed="false">
      <c r="A42" s="21" t="s">
        <v>800</v>
      </c>
      <c r="B42" s="23" t="s">
        <v>827</v>
      </c>
      <c r="C42" s="21" t="s">
        <v>828</v>
      </c>
      <c r="D42" s="10" t="s">
        <v>703</v>
      </c>
      <c r="E42" s="22" t="s">
        <v>165</v>
      </c>
      <c r="F42" s="26" t="s">
        <v>32</v>
      </c>
      <c r="G42" s="21" t="s">
        <v>829</v>
      </c>
      <c r="H42" s="22" t="s">
        <v>700</v>
      </c>
    </row>
    <row r="43" customFormat="false" ht="15" hidden="false" customHeight="true" outlineLevel="0" collapsed="false">
      <c r="A43" s="21" t="s">
        <v>830</v>
      </c>
      <c r="B43" s="23" t="s">
        <v>831</v>
      </c>
      <c r="C43" s="21" t="s">
        <v>832</v>
      </c>
      <c r="D43" s="10" t="s">
        <v>165</v>
      </c>
      <c r="E43" s="22" t="s">
        <v>792</v>
      </c>
      <c r="F43" s="44" t="s">
        <v>685</v>
      </c>
      <c r="G43" s="21" t="s">
        <v>833</v>
      </c>
      <c r="H43" s="22" t="s">
        <v>165</v>
      </c>
    </row>
    <row r="44" customFormat="false" ht="27.75" hidden="false" customHeight="true" outlineLevel="0" collapsed="false">
      <c r="A44" s="21" t="s">
        <v>830</v>
      </c>
      <c r="B44" s="23" t="s">
        <v>834</v>
      </c>
      <c r="C44" s="21" t="s">
        <v>835</v>
      </c>
      <c r="D44" s="10" t="s">
        <v>165</v>
      </c>
      <c r="E44" s="22" t="s">
        <v>792</v>
      </c>
      <c r="F44" s="26" t="s">
        <v>32</v>
      </c>
      <c r="G44" s="21" t="s">
        <v>836</v>
      </c>
      <c r="H44" s="22" t="s">
        <v>700</v>
      </c>
    </row>
  </sheetData>
  <autoFilter ref="A4:H4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4"/>
    <col collapsed="false" customWidth="true" hidden="false" outlineLevel="0" max="4" min="4" style="0" width="22"/>
    <col collapsed="false" customWidth="true" hidden="false" outlineLevel="0" max="5" min="5" style="0" width="16"/>
    <col collapsed="false" customWidth="true" hidden="false" outlineLevel="0" max="6" min="6" style="0" width="70"/>
    <col collapsed="false" customWidth="true" hidden="false" outlineLevel="0" max="7" min="7" style="0" width="18"/>
  </cols>
  <sheetData>
    <row r="1" customFormat="false" ht="15" hidden="false" customHeight="false" outlineLevel="0" collapsed="false">
      <c r="A1" s="2" t="s">
        <v>837</v>
      </c>
    </row>
    <row r="2" customFormat="false" ht="15" hidden="false" customHeight="false" outlineLevel="0" collapsed="false">
      <c r="A2" s="18" t="s">
        <v>838</v>
      </c>
    </row>
    <row r="4" customFormat="false" ht="30" hidden="false" customHeight="true" outlineLevel="0" collapsed="false">
      <c r="A4" s="19" t="s">
        <v>46</v>
      </c>
      <c r="B4" s="8" t="s">
        <v>839</v>
      </c>
      <c r="C4" s="8" t="s">
        <v>840</v>
      </c>
      <c r="D4" s="8" t="s">
        <v>841</v>
      </c>
      <c r="E4" s="8" t="s">
        <v>842</v>
      </c>
      <c r="F4" s="8" t="s">
        <v>843</v>
      </c>
      <c r="G4" s="8" t="s">
        <v>445</v>
      </c>
    </row>
    <row r="5" customFormat="false" ht="27.75" hidden="false" customHeight="true" outlineLevel="0" collapsed="false">
      <c r="A5" s="23" t="n">
        <v>1</v>
      </c>
      <c r="B5" s="21" t="s">
        <v>844</v>
      </c>
      <c r="C5" s="21" t="s">
        <v>845</v>
      </c>
      <c r="D5" s="21" t="s">
        <v>846</v>
      </c>
      <c r="E5" s="47" t="s">
        <v>847</v>
      </c>
      <c r="F5" s="21" t="s">
        <v>848</v>
      </c>
      <c r="G5" s="22" t="s">
        <v>165</v>
      </c>
    </row>
    <row r="6" customFormat="false" ht="27.75" hidden="false" customHeight="true" outlineLevel="0" collapsed="false">
      <c r="A6" s="23" t="n">
        <v>2</v>
      </c>
      <c r="B6" s="21" t="s">
        <v>844</v>
      </c>
      <c r="C6" s="21" t="s">
        <v>849</v>
      </c>
      <c r="D6" s="21" t="s">
        <v>846</v>
      </c>
      <c r="E6" s="47" t="s">
        <v>847</v>
      </c>
      <c r="F6" s="21" t="s">
        <v>850</v>
      </c>
      <c r="G6" s="22" t="s">
        <v>165</v>
      </c>
    </row>
    <row r="7" customFormat="false" ht="27.75" hidden="false" customHeight="true" outlineLevel="0" collapsed="false">
      <c r="A7" s="23" t="n">
        <v>3</v>
      </c>
      <c r="B7" s="22" t="s">
        <v>251</v>
      </c>
      <c r="C7" s="21" t="s">
        <v>851</v>
      </c>
      <c r="D7" s="21" t="s">
        <v>852</v>
      </c>
      <c r="E7" s="47" t="s">
        <v>847</v>
      </c>
      <c r="F7" s="21" t="s">
        <v>853</v>
      </c>
      <c r="G7" s="22" t="s">
        <v>854</v>
      </c>
    </row>
    <row r="8" customFormat="false" ht="40.5" hidden="false" customHeight="true" outlineLevel="0" collapsed="false">
      <c r="A8" s="23" t="n">
        <v>4</v>
      </c>
      <c r="B8" s="22" t="s">
        <v>855</v>
      </c>
      <c r="C8" s="21" t="s">
        <v>856</v>
      </c>
      <c r="D8" s="22" t="s">
        <v>857</v>
      </c>
      <c r="E8" s="48" t="s">
        <v>858</v>
      </c>
      <c r="F8" s="21" t="s">
        <v>859</v>
      </c>
      <c r="G8" s="22" t="s">
        <v>860</v>
      </c>
    </row>
    <row r="9" customFormat="false" ht="40.5" hidden="false" customHeight="true" outlineLevel="0" collapsed="false">
      <c r="A9" s="23" t="n">
        <v>5</v>
      </c>
      <c r="B9" s="22" t="s">
        <v>861</v>
      </c>
      <c r="C9" s="21" t="s">
        <v>862</v>
      </c>
      <c r="D9" s="22" t="s">
        <v>863</v>
      </c>
      <c r="E9" s="48" t="s">
        <v>858</v>
      </c>
      <c r="F9" s="21" t="s">
        <v>864</v>
      </c>
      <c r="G9" s="22" t="s">
        <v>865</v>
      </c>
    </row>
    <row r="10" customFormat="false" ht="40.5" hidden="false" customHeight="true" outlineLevel="0" collapsed="false">
      <c r="A10" s="23" t="n">
        <v>6</v>
      </c>
      <c r="B10" s="22" t="s">
        <v>866</v>
      </c>
      <c r="C10" s="21" t="s">
        <v>867</v>
      </c>
      <c r="D10" s="22" t="s">
        <v>868</v>
      </c>
      <c r="E10" s="48" t="s">
        <v>858</v>
      </c>
      <c r="F10" s="22" t="s">
        <v>869</v>
      </c>
      <c r="G10" s="22" t="s">
        <v>870</v>
      </c>
    </row>
    <row r="11" customFormat="false" ht="27.75" hidden="false" customHeight="true" outlineLevel="0" collapsed="false">
      <c r="A11" s="23" t="n">
        <v>7</v>
      </c>
      <c r="B11" s="22" t="s">
        <v>871</v>
      </c>
      <c r="C11" s="21" t="s">
        <v>872</v>
      </c>
      <c r="D11" s="22" t="s">
        <v>873</v>
      </c>
      <c r="E11" s="48" t="s">
        <v>858</v>
      </c>
      <c r="F11" s="21" t="s">
        <v>874</v>
      </c>
      <c r="G11" s="22" t="s">
        <v>875</v>
      </c>
    </row>
    <row r="12" customFormat="false" ht="27.75" hidden="false" customHeight="true" outlineLevel="0" collapsed="false">
      <c r="A12" s="23" t="n">
        <v>8</v>
      </c>
      <c r="B12" s="22" t="s">
        <v>876</v>
      </c>
      <c r="C12" s="21" t="s">
        <v>877</v>
      </c>
      <c r="D12" s="22" t="s">
        <v>878</v>
      </c>
      <c r="E12" s="48" t="s">
        <v>858</v>
      </c>
      <c r="F12" s="21" t="s">
        <v>879</v>
      </c>
      <c r="G12" s="22" t="s">
        <v>880</v>
      </c>
    </row>
    <row r="13" customFormat="false" ht="40.5" hidden="false" customHeight="true" outlineLevel="0" collapsed="false">
      <c r="A13" s="23" t="n">
        <v>9</v>
      </c>
      <c r="B13" s="22" t="s">
        <v>881</v>
      </c>
      <c r="C13" s="21" t="s">
        <v>882</v>
      </c>
      <c r="D13" s="22" t="s">
        <v>883</v>
      </c>
      <c r="E13" s="48" t="s">
        <v>858</v>
      </c>
      <c r="F13" s="22" t="s">
        <v>884</v>
      </c>
      <c r="G13" s="22" t="s">
        <v>885</v>
      </c>
    </row>
    <row r="14" customFormat="false" ht="15" hidden="false" customHeight="true" outlineLevel="0" collapsed="false">
      <c r="A14" s="23" t="n">
        <v>10</v>
      </c>
      <c r="B14" s="22" t="s">
        <v>886</v>
      </c>
      <c r="C14" s="21" t="s">
        <v>887</v>
      </c>
      <c r="D14" s="21" t="s">
        <v>852</v>
      </c>
      <c r="E14" s="47" t="s">
        <v>847</v>
      </c>
      <c r="F14" s="21" t="s">
        <v>888</v>
      </c>
      <c r="G14" s="22" t="s">
        <v>889</v>
      </c>
    </row>
    <row r="15" customFormat="false" ht="27.75" hidden="false" customHeight="true" outlineLevel="0" collapsed="false">
      <c r="A15" s="23" t="n">
        <v>11</v>
      </c>
      <c r="B15" s="21" t="s">
        <v>890</v>
      </c>
      <c r="C15" s="21" t="s">
        <v>891</v>
      </c>
      <c r="D15" s="21" t="s">
        <v>892</v>
      </c>
      <c r="E15" s="49" t="s">
        <v>893</v>
      </c>
      <c r="F15" s="21" t="s">
        <v>894</v>
      </c>
      <c r="G15" s="22" t="s">
        <v>895</v>
      </c>
    </row>
    <row r="16" customFormat="false" ht="40.5" hidden="false" customHeight="true" outlineLevel="0" collapsed="false">
      <c r="A16" s="23" t="n">
        <v>12</v>
      </c>
      <c r="B16" s="21" t="s">
        <v>896</v>
      </c>
      <c r="C16" s="21" t="s">
        <v>897</v>
      </c>
      <c r="D16" s="22" t="s">
        <v>898</v>
      </c>
      <c r="E16" s="48" t="s">
        <v>858</v>
      </c>
      <c r="F16" s="21" t="s">
        <v>899</v>
      </c>
      <c r="G16" s="22" t="s">
        <v>900</v>
      </c>
    </row>
    <row r="17" customFormat="false" ht="27.75" hidden="false" customHeight="true" outlineLevel="0" collapsed="false">
      <c r="A17" s="23" t="n">
        <v>13</v>
      </c>
      <c r="B17" s="21" t="s">
        <v>901</v>
      </c>
      <c r="C17" s="21" t="s">
        <v>902</v>
      </c>
      <c r="D17" s="21" t="s">
        <v>903</v>
      </c>
      <c r="E17" s="48" t="s">
        <v>904</v>
      </c>
      <c r="F17" s="21" t="s">
        <v>905</v>
      </c>
      <c r="G17" s="22" t="s">
        <v>505</v>
      </c>
    </row>
    <row r="18" customFormat="false" ht="15" hidden="false" customHeight="true" outlineLevel="0" collapsed="false">
      <c r="A18" s="23" t="n">
        <v>14</v>
      </c>
      <c r="B18" s="22" t="s">
        <v>165</v>
      </c>
      <c r="C18" s="21" t="s">
        <v>906</v>
      </c>
      <c r="D18" s="22" t="s">
        <v>165</v>
      </c>
      <c r="E18" s="47" t="s">
        <v>847</v>
      </c>
      <c r="F18" s="21" t="s">
        <v>907</v>
      </c>
      <c r="G18" s="22" t="s">
        <v>165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2026-10-01T09:22:31Z</dcterms:created>
  <dc:creator>openpyxl</dc:creator>
  <dc:description/>
  <dc:language>en-US</dc:language>
  <cp:lastModifiedBy/>
  <dcterms:modified xsi:type="dcterms:W3CDTF">2026-10-01T09:22:31Z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