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0" yWindow="-14385" windowWidth="26010" windowHeight="118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人件費・給与支給総額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BIZ UD明朝 Medium"/>
      <charset val="128"/>
      <family val="1"/>
      <color theme="1"/>
      <sz val="12"/>
    </font>
    <font>
      <name val="游ゴシック"/>
      <charset val="128"/>
      <family val="3"/>
      <b val="1"/>
      <color theme="1"/>
      <sz val="12"/>
      <scheme val="minor"/>
    </font>
    <font>
      <name val="BIZ UD明朝 Medium"/>
      <charset val="128"/>
      <family val="1"/>
      <b val="1"/>
      <color theme="1"/>
      <sz val="12"/>
    </font>
    <font>
      <name val="BIZ UD明朝 Medium"/>
      <charset val="128"/>
      <family val="1"/>
      <sz val="12"/>
    </font>
    <font>
      <name val="BIZ UD明朝 Medium"/>
      <charset val="128"/>
      <family val="1"/>
      <b val="1"/>
      <sz val="10"/>
    </font>
    <font>
      <name val="BIZ UD明朝 Medium"/>
      <charset val="128"/>
      <family val="1"/>
      <color rgb="FF0000FF"/>
      <sz val="10"/>
    </font>
    <font>
      <name val="BIZ UD明朝 Medium"/>
      <charset val="128"/>
      <family val="1"/>
      <color rgb="FF0000FF"/>
      <sz val="12"/>
    </font>
    <font>
      <name val="BIZ UD明朝 Medium"/>
      <charset val="128"/>
      <family val="1"/>
      <sz val="12"/>
    </font>
    <font>
      <name val="BIZ UD明朝 Medium"/>
      <charset val="128"/>
      <family val="1"/>
      <sz val="10"/>
    </font>
    <font>
      <name val="BIZ UD明朝 Medium"/>
      <charset val="128"/>
      <family val="1"/>
      <sz val="11"/>
    </font>
    <font>
      <name val="BIZ UD明朝 Medium"/>
      <charset val="128"/>
      <sz val="10"/>
    </font>
    <font>
      <name val="BIZ UD明朝 Medium"/>
      <charset val="128"/>
      <color rgb="FF0000FF"/>
      <sz val="10"/>
    </font>
    <font>
      <name val="BIZ UD明朝 Medium"/>
      <charset val="128"/>
      <color rgb="FF000000"/>
      <sz val="10"/>
    </font>
    <font>
      <name val="BIZ UD明朝 Medium"/>
      <charset val="128"/>
      <color rgb="FF0000FF"/>
      <sz val="12"/>
    </font>
    <font>
      <name val="BIZ UD明朝 Medium"/>
      <charset val="128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38" fontId="0" fillId="0" borderId="0" applyAlignment="1" pivotButton="0" quotePrefix="0" xfId="1">
      <alignment vertical="center"/>
    </xf>
    <xf numFmtId="9" fontId="0" fillId="0" borderId="0" applyAlignment="1" pivotButton="0" quotePrefix="0" xfId="2">
      <alignment vertical="center"/>
    </xf>
    <xf numFmtId="38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38" fontId="4" fillId="3" borderId="1" applyAlignment="1" pivotButton="0" quotePrefix="0" xfId="1">
      <alignment vertical="center"/>
    </xf>
    <xf numFmtId="0" fontId="4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38" fontId="4" fillId="4" borderId="1" applyAlignment="1" pivotButton="0" quotePrefix="0" xfId="1">
      <alignment vertical="center"/>
    </xf>
    <xf numFmtId="0" fontId="4" fillId="5" borderId="1" applyAlignment="1" pivotButton="0" quotePrefix="0" xfId="0">
      <alignment vertical="center"/>
    </xf>
    <xf numFmtId="38" fontId="4" fillId="5" borderId="1" applyAlignment="1" pivotButton="0" quotePrefix="0" xfId="1">
      <alignment vertical="center"/>
    </xf>
    <xf numFmtId="0" fontId="4" fillId="6" borderId="1" applyAlignment="1" pivotButton="0" quotePrefix="0" xfId="0">
      <alignment vertical="center"/>
    </xf>
    <xf numFmtId="38" fontId="4" fillId="6" borderId="1" applyAlignment="1" pivotButton="0" quotePrefix="0" xfId="1">
      <alignment vertical="center"/>
    </xf>
    <xf numFmtId="38" fontId="4" fillId="0" borderId="1" applyAlignment="1" pivotButton="0" quotePrefix="0" xfId="1">
      <alignment vertical="center"/>
    </xf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38" fontId="4" fillId="8" borderId="1" applyAlignment="1" pivotButton="0" quotePrefix="0" xfId="1">
      <alignment vertical="center"/>
    </xf>
    <xf numFmtId="0" fontId="4" fillId="8" borderId="0" applyAlignment="1" pivotButton="0" quotePrefix="0" xfId="0">
      <alignment vertical="center"/>
    </xf>
    <xf numFmtId="164" fontId="4" fillId="8" borderId="0" applyAlignment="1" pivotButton="0" quotePrefix="0" xfId="0">
      <alignment vertical="center"/>
    </xf>
    <xf numFmtId="38" fontId="4" fillId="0" borderId="0" applyAlignment="1" pivotButton="0" quotePrefix="0" xfId="1">
      <alignment vertical="center"/>
    </xf>
    <xf numFmtId="38" fontId="4" fillId="0" borderId="1" applyAlignment="1" pivotButton="0" quotePrefix="0" xfId="0">
      <alignment vertical="center"/>
    </xf>
    <xf numFmtId="38" fontId="4" fillId="0" borderId="0" applyAlignment="1" pivotButton="0" quotePrefix="0" xfId="0">
      <alignment vertical="center"/>
    </xf>
    <xf numFmtId="38" fontId="4" fillId="8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164" fontId="6" fillId="8" borderId="1" applyAlignment="1" pivotButton="0" quotePrefix="0" xfId="2">
      <alignment vertical="center"/>
    </xf>
    <xf numFmtId="10" fontId="6" fillId="8" borderId="0" applyAlignment="1" pivotButton="0" quotePrefix="0" xfId="2">
      <alignment vertical="center"/>
    </xf>
    <xf numFmtId="10" fontId="4" fillId="0" borderId="0" applyAlignment="1" pivotButton="0" quotePrefix="0" xfId="0">
      <alignment vertical="center"/>
    </xf>
    <xf numFmtId="164" fontId="4" fillId="0" borderId="0" applyAlignment="1" pivotButton="0" quotePrefix="0" xfId="2">
      <alignment vertical="center"/>
    </xf>
    <xf numFmtId="9" fontId="4" fillId="0" borderId="0" applyAlignment="1" pivotButton="0" quotePrefix="0" xfId="2">
      <alignment vertical="center"/>
    </xf>
    <xf numFmtId="0" fontId="0" fillId="8" borderId="0" applyAlignment="1" pivotButton="0" quotePrefix="0" xfId="0">
      <alignment vertical="center"/>
    </xf>
    <xf numFmtId="3" fontId="7" fillId="4" borderId="1" applyAlignment="1" pivotButton="0" quotePrefix="0" xfId="0">
      <alignment vertical="center"/>
    </xf>
    <xf numFmtId="31" fontId="4" fillId="2" borderId="1" applyAlignment="1" pivotButton="0" quotePrefix="0" xfId="0">
      <alignment horizontal="center" vertical="center" wrapText="1"/>
    </xf>
    <xf numFmtId="49" fontId="4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0" borderId="0" applyAlignment="1" pivotButton="0" quotePrefix="0" xfId="0">
      <alignment vertical="center"/>
    </xf>
    <xf numFmtId="164" fontId="9" fillId="0" borderId="0" applyAlignment="1" pivotButton="0" quotePrefix="0" xfId="2">
      <alignment vertical="center"/>
    </xf>
    <xf numFmtId="38" fontId="9" fillId="0" borderId="0" pivotButton="0" quotePrefix="0" xfId="0"/>
    <xf numFmtId="164" fontId="9" fillId="0" borderId="0" pivotButton="0" quotePrefix="0" xfId="0"/>
    <xf numFmtId="164" fontId="9" fillId="0" borderId="0" applyAlignment="1" pivotButton="0" quotePrefix="0" xfId="0">
      <alignment vertical="center"/>
    </xf>
    <xf numFmtId="38" fontId="9" fillId="0" borderId="0" applyAlignment="1" pivotButton="0" quotePrefix="0" xfId="2">
      <alignment vertical="center"/>
    </xf>
    <xf numFmtId="3" fontId="7" fillId="4" borderId="1" applyAlignment="1" pivotButton="0" quotePrefix="0" xfId="1">
      <alignment vertical="center"/>
    </xf>
    <xf numFmtId="38" fontId="10" fillId="0" borderId="1" pivotButton="0" quotePrefix="0" xfId="0"/>
    <xf numFmtId="0" fontId="5" fillId="0" borderId="1" applyAlignment="1" pivotButton="0" quotePrefix="0" xfId="0">
      <alignment vertical="center"/>
    </xf>
    <xf numFmtId="38" fontId="11" fillId="0" borderId="1" applyAlignment="1" pivotButton="0" quotePrefix="0" xfId="0">
      <alignment vertical="center"/>
    </xf>
    <xf numFmtId="0" fontId="8" fillId="0" borderId="0" pivotButton="0" quotePrefix="0" xfId="0"/>
    <xf numFmtId="38" fontId="12" fillId="0" borderId="0" pivotButton="0" quotePrefix="0" xfId="0"/>
    <xf numFmtId="10" fontId="12" fillId="0" borderId="0" pivotButton="0" quotePrefix="0" xfId="0"/>
    <xf numFmtId="10" fontId="12" fillId="0" borderId="0" applyAlignment="1" pivotButton="0" quotePrefix="0" xfId="1">
      <alignment vertical="center"/>
    </xf>
    <xf numFmtId="38" fontId="11" fillId="0" borderId="0" applyAlignment="1" pivotButton="0" quotePrefix="0" xfId="0">
      <alignment vertical="center"/>
    </xf>
    <xf numFmtId="10" fontId="9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4" fillId="0" borderId="0" applyAlignment="1" pivotButton="0" quotePrefix="0" xfId="2">
      <alignment vertical="center"/>
    </xf>
    <xf numFmtId="164" fontId="15" fillId="0" borderId="0" applyAlignment="1" pivotButton="0" quotePrefix="0" xfId="2">
      <alignment vertical="center"/>
    </xf>
    <xf numFmtId="10" fontId="16" fillId="0" borderId="0" applyAlignment="1" pivotButton="0" quotePrefix="0" xfId="0">
      <alignment vertical="center"/>
    </xf>
    <xf numFmtId="10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38" fontId="15" fillId="0" borderId="0" applyAlignment="1" pivotButton="0" quotePrefix="0" xfId="2">
      <alignment vertical="center"/>
    </xf>
    <xf numFmtId="38" fontId="1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0" fontId="6" fillId="8" borderId="1" applyAlignment="1" pivotButton="0" quotePrefix="0" xfId="2">
      <alignment vertical="center"/>
    </xf>
    <xf numFmtId="164" fontId="4" fillId="8" borderId="0" applyAlignment="1" pivotButton="0" quotePrefix="0" xfId="0">
      <alignment vertical="center"/>
    </xf>
    <xf numFmtId="38" fontId="17" fillId="0" borderId="1" applyAlignment="1" pivotButton="0" quotePrefix="0" xfId="1">
      <alignment vertical="center"/>
    </xf>
    <xf numFmtId="38" fontId="18" fillId="0" borderId="1" applyAlignment="1" pivotButton="0" quotePrefix="0" xfId="0">
      <alignment vertical="center"/>
    </xf>
    <xf numFmtId="10" fontId="17" fillId="0" borderId="1" applyAlignment="1" pivotButton="0" quotePrefix="0" xfId="0">
      <alignment vertical="center"/>
    </xf>
    <xf numFmtId="4" fontId="12" fillId="0" borderId="0" pivotButton="0" quotePrefix="0" xfId="0"/>
    <xf numFmtId="10" fontId="12" fillId="0" borderId="0" pivotButton="0" quotePrefix="0" xfId="1"/>
    <xf numFmtId="164" fontId="12" fillId="0" borderId="0" pivotButton="0" quotePrefix="0" xfId="0"/>
  </cellXfs>
  <cellStyles count="3">
    <cellStyle name="標準" xfId="0" builtinId="0"/>
    <cellStyle name="桁区切り" xfId="1" builtinId="6"/>
    <cellStyle name="パーセント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6"/>
  <sheetViews>
    <sheetView tabSelected="1" topLeftCell="A16" zoomScale="70" zoomScaleNormal="70" workbookViewId="0">
      <selection activeCell="D43" sqref="D43"/>
    </sheetView>
  </sheetViews>
  <sheetFormatPr baseColWidth="8" defaultColWidth="9" defaultRowHeight="18.75"/>
  <cols>
    <col width="34.375" customWidth="1" style="60" min="1" max="1"/>
    <col width="19.5" bestFit="1" customWidth="1" style="60" min="2" max="2"/>
    <col width="19.5" customWidth="1" style="60" min="3" max="3"/>
    <col width="19.5" customWidth="1" style="61" min="4" max="4"/>
    <col width="19.5" customWidth="1" style="60" min="5" max="5"/>
    <col width="19.5" customWidth="1" style="61" min="6" max="6"/>
    <col width="19.5" bestFit="1" customWidth="1" style="60" min="7" max="7"/>
    <col width="19.5" customWidth="1" style="61" min="8" max="9"/>
    <col width="16.875" bestFit="1" customWidth="1" style="60" min="10" max="10"/>
    <col width="9" customWidth="1" style="60" min="11" max="14"/>
    <col width="9" customWidth="1" style="60" min="15" max="16384"/>
  </cols>
  <sheetData>
    <row r="1" ht="14.1" customHeight="1" s="61">
      <c r="A1" s="43" t="inlineStr">
        <is>
          <t>【前提①】売上高 成長率（対前年）</t>
        </is>
      </c>
      <c r="B1" s="64" t="n"/>
      <c r="C1" s="65" t="n">
        <v>0.015</v>
      </c>
      <c r="D1" s="65" t="n">
        <v>0.015</v>
      </c>
      <c r="E1" s="65" t="n">
        <v>0.04</v>
      </c>
      <c r="F1" s="65" t="n">
        <v>0.04</v>
      </c>
      <c r="G1" s="65" t="n">
        <v>0.04</v>
      </c>
      <c r="H1" s="65" t="n">
        <v>0.04</v>
      </c>
      <c r="I1" s="65" t="n">
        <v>0.04</v>
      </c>
    </row>
    <row r="2" ht="14.1" customHeight="1" s="61">
      <c r="A2" s="43" t="inlineStr">
        <is>
          <t>【前提②】売上原価率（対売上高）</t>
        </is>
      </c>
      <c r="B2" s="66">
        <f>B8/B7</f>
        <v>0.905888328303114</v>
      </c>
      <c r="C2" s="67" t="n">
        <v>0.9056999999999999</v>
      </c>
      <c r="D2" s="67" t="n">
        <v>0.905</v>
      </c>
      <c r="E2" s="67" t="n">
        <v>0.9025</v>
      </c>
      <c r="F2" s="67" t="n">
        <v>0.9</v>
      </c>
      <c r="G2" s="67" t="n">
        <v>0.8975</v>
      </c>
      <c r="H2" s="67" t="n">
        <v>0.8945</v>
      </c>
      <c r="I2" s="67" t="n">
        <v>0.8915</v>
      </c>
    </row>
    <row r="3" ht="14.1" customHeight="1" s="61">
      <c r="A3" s="43" t="inlineStr">
        <is>
          <t>【前提③】その他販管費率（対売上高）</t>
        </is>
      </c>
      <c r="B3" s="66">
        <f>B28/B7</f>
        <v>0.0477021480696715</v>
      </c>
      <c r="C3" s="67" t="n">
        <v>0.0477</v>
      </c>
      <c r="D3" s="67" t="n">
        <v>0.0477</v>
      </c>
      <c r="E3" s="67" t="n">
        <v>0.0477</v>
      </c>
      <c r="F3" s="67" t="n">
        <v>0.0477</v>
      </c>
      <c r="G3" s="67" t="n">
        <v>0.0477</v>
      </c>
      <c r="H3" s="67" t="n">
        <v>0.0477</v>
      </c>
      <c r="I3" s="67" t="n">
        <v>0.0477</v>
      </c>
    </row>
    <row r="4" ht="14.1" customHeight="1" s="61">
      <c r="A4" s="43" t="inlineStr">
        <is>
          <t>【前提④】1人当たり賃上げ率（対前年）</t>
        </is>
      </c>
      <c r="C4" s="68" t="n">
        <v>0.03</v>
      </c>
      <c r="D4" s="68" t="n">
        <v>0.03</v>
      </c>
      <c r="E4" s="68" t="n">
        <v>0.035</v>
      </c>
      <c r="F4" s="68" t="n">
        <v>0.035</v>
      </c>
      <c r="G4" s="68" t="n">
        <v>0.035</v>
      </c>
      <c r="H4" s="68" t="n">
        <v>0.035</v>
      </c>
      <c r="I4" s="68" t="n">
        <v>0.035</v>
      </c>
    </row>
    <row r="5" ht="14.1" customHeight="1" s="61">
      <c r="A5" s="43" t="inlineStr">
        <is>
          <t>【前提⑤】本事業設備の減価償却費</t>
        </is>
      </c>
      <c r="B5" s="37" t="n"/>
      <c r="C5" s="69" t="n">
        <v>0</v>
      </c>
      <c r="D5" s="70" t="n">
        <v>0</v>
      </c>
      <c r="E5" s="70" t="n">
        <v>9200000</v>
      </c>
      <c r="F5" s="70" t="n">
        <v>9200000</v>
      </c>
      <c r="G5" s="70" t="n">
        <v>9200000</v>
      </c>
      <c r="H5" s="70" t="n">
        <v>9200000</v>
      </c>
      <c r="I5" s="70" t="n">
        <v>9200000</v>
      </c>
    </row>
    <row r="6" ht="42.75" customHeight="1" s="61">
      <c r="A6" s="8" t="inlineStr">
        <is>
          <t>収支詳細</t>
        </is>
      </c>
      <c r="B6" s="9" t="inlineStr">
        <is>
          <t>直近年度
2026年3月</t>
        </is>
      </c>
      <c r="C6" s="41" t="inlineStr">
        <is>
          <t>進行期
2027年3月</t>
        </is>
      </c>
      <c r="D6" s="40" t="inlineStr">
        <is>
          <t>基準年度
2028年3月</t>
        </is>
      </c>
      <c r="E6" s="9" t="inlineStr">
        <is>
          <t>1年目
2029年3月</t>
        </is>
      </c>
      <c r="F6" s="9" t="inlineStr">
        <is>
          <t>2年目
2030年3月</t>
        </is>
      </c>
      <c r="G6" s="9" t="inlineStr">
        <is>
          <t>3年目
2031年3月</t>
        </is>
      </c>
      <c r="H6" s="9" t="inlineStr">
        <is>
          <t>4年目（目標値）
2032年3月</t>
        </is>
      </c>
      <c r="I6" s="9" t="inlineStr">
        <is>
          <t>5年目（目標値）
2033年3月</t>
        </is>
      </c>
      <c r="J6" s="71" t="inlineStr">
        <is>
          <t>※事業計画期間は3年。4・5年目は目標値として策定（よくあるご質問No.8：目標値は5年目まで必要）。別紙４のJ・K列へ転記。</t>
        </is>
      </c>
    </row>
    <row r="7" ht="14.1" customHeight="1" s="61">
      <c r="A7" s="11" t="inlineStr">
        <is>
          <t>①売上高</t>
        </is>
      </c>
      <c r="B7" s="12">
        <f>人件費・給与支給総額!J4</f>
        <v>11168904537</v>
      </c>
      <c r="C7" s="12">
        <f>ROUND(B7*(1+C$1),0)</f>
        <v>11336438105</v>
      </c>
      <c r="D7" s="12">
        <f>ROUND(C7*(1+D$1),0)</f>
        <v>11506484677</v>
      </c>
      <c r="E7" s="12">
        <f>ROUND(D7*(1+E$1),0)</f>
        <v>11966744064</v>
      </c>
      <c r="F7" s="12">
        <f>ROUND(E7*(1+F$1),0)</f>
        <v>12445413827</v>
      </c>
      <c r="G7" s="12">
        <f>ROUND(F7*(1+G$1),0)</f>
        <v>12943230380</v>
      </c>
      <c r="H7" s="12">
        <f>ROUND(G7*(1+H$1),0)</f>
        <v>13460959595</v>
      </c>
      <c r="I7" s="12">
        <f>ROUND(H7*(1+I$1),0)</f>
        <v>13999397979</v>
      </c>
    </row>
    <row r="8" ht="14.1" customHeight="1" s="61">
      <c r="A8" s="14" t="inlineStr">
        <is>
          <t xml:space="preserve">　売上原価</t>
        </is>
      </c>
      <c r="B8" s="15">
        <f>人件費・給与支給総額!J6</f>
        <v>10117780260</v>
      </c>
      <c r="C8" s="15">
        <f>ROUND(C7*C$2,0)</f>
        <v>10267411992</v>
      </c>
      <c r="D8" s="15">
        <f>ROUND(D7*D$2,0)</f>
        <v>10413368633</v>
      </c>
      <c r="E8" s="15">
        <f>ROUND(E7*E$2,0)</f>
        <v>10799986518</v>
      </c>
      <c r="F8" s="15">
        <f>ROUND(F7*F$2,0)</f>
        <v>11200872444</v>
      </c>
      <c r="G8" s="15">
        <f>ROUND(G7*G$2,0)</f>
        <v>11616549266</v>
      </c>
      <c r="H8" s="15">
        <f>ROUND(H7*H$2,0)</f>
        <v>12040828358</v>
      </c>
      <c r="I8" s="15">
        <f>ROUND(I7*I$2,0)</f>
        <v>12480463298</v>
      </c>
    </row>
    <row r="9" ht="14.1" customFormat="1" customHeight="1" s="25">
      <c r="A9" s="32" t="inlineStr">
        <is>
          <t xml:space="preserve">　　（原価率）</t>
        </is>
      </c>
      <c r="B9" s="72">
        <f>B8/B7</f>
        <v>0.905888328303114</v>
      </c>
      <c r="C9" s="72">
        <f>C8/C7</f>
        <v>0.905700000026596</v>
      </c>
      <c r="D9" s="72">
        <f>D8/D7</f>
        <v>0.905000000027376</v>
      </c>
      <c r="E9" s="72">
        <f>E8/E7</f>
        <v>0.902500000020056</v>
      </c>
      <c r="F9" s="72">
        <f>F8/F7</f>
        <v>0.899999999975895</v>
      </c>
      <c r="G9" s="72">
        <f>G8/G7</f>
        <v>0.897499999996137</v>
      </c>
      <c r="H9" s="72">
        <f>H8/H7</f>
        <v>0.894500000020244</v>
      </c>
      <c r="I9" s="72">
        <f>I8/I7</f>
        <v>0.891499999980106</v>
      </c>
      <c r="J9" s="73" t="n"/>
    </row>
    <row r="10" ht="14.1" customHeight="1" s="61">
      <c r="A10" s="23" t="inlineStr">
        <is>
          <t xml:space="preserve">　└うち人件費</t>
        </is>
      </c>
      <c r="B10" s="24">
        <f>人件費・給与支給総額!C10</f>
        <v>733251723</v>
      </c>
      <c r="C10" s="24">
        <f>ROUND(C33*$B$10/$B$33,0)</f>
        <v>738217735</v>
      </c>
      <c r="D10" s="24">
        <f>ROUND(D33*$B$10/$B$33,0)</f>
        <v>775037872</v>
      </c>
      <c r="E10" s="24">
        <f>ROUND(E33*$B$10/$B$33,0)</f>
        <v>813002830</v>
      </c>
      <c r="F10" s="24">
        <f>ROUND(F33*$B$10/$B$33,0)</f>
        <v>857041779</v>
      </c>
      <c r="G10" s="24">
        <f>ROUND(G33*$B$10/$B$33,0)</f>
        <v>898766289</v>
      </c>
      <c r="H10" s="24">
        <f>ROUND(H33*$B$10/$B$33,0)</f>
        <v>947034354</v>
      </c>
      <c r="I10" s="24">
        <f>ROUND(I33*$B$10/$B$33,0)</f>
        <v>992861369</v>
      </c>
    </row>
    <row r="11" ht="14.1" customHeight="1" s="61">
      <c r="A11" s="18" t="inlineStr">
        <is>
          <t xml:space="preserve">　　　└うち役員給与支給総額</t>
        </is>
      </c>
      <c r="B11" s="19">
        <f>人件費・給与支給総額!C11</f>
        <v>0</v>
      </c>
      <c r="C11" s="19">
        <f>C12+C13</f>
        <v>0</v>
      </c>
      <c r="D11" s="19">
        <f>D12+D13</f>
        <v>0</v>
      </c>
      <c r="E11" s="19">
        <f>E12+E13</f>
        <v>0</v>
      </c>
      <c r="F11" s="19">
        <f>F12+F13</f>
        <v>0</v>
      </c>
      <c r="G11" s="19">
        <f>G12+G13</f>
        <v>0</v>
      </c>
      <c r="H11" s="19">
        <f>H12+H13</f>
        <v>0</v>
      </c>
      <c r="I11" s="19">
        <f>I12+I13</f>
        <v>0</v>
      </c>
    </row>
    <row r="12" ht="14.1" customHeight="1" s="61">
      <c r="A12" s="13" t="inlineStr">
        <is>
          <t xml:space="preserve">　　　　　└うち賞与</t>
        </is>
      </c>
      <c r="B12" s="20">
        <f>人件費・給与支給総額!C12</f>
        <v>0</v>
      </c>
      <c r="C12" s="20">
        <f>B12</f>
        <v>0</v>
      </c>
      <c r="D12" s="20">
        <f>C12</f>
        <v>0</v>
      </c>
      <c r="E12" s="20">
        <f>D12</f>
        <v>0</v>
      </c>
      <c r="F12" s="20">
        <f>E12</f>
        <v>0</v>
      </c>
      <c r="G12" s="20">
        <f>F12</f>
        <v>0</v>
      </c>
      <c r="H12" s="20">
        <f>G12</f>
        <v>0</v>
      </c>
      <c r="I12" s="20">
        <f>H12</f>
        <v>0</v>
      </c>
    </row>
    <row r="13" ht="14.1" customHeight="1" s="61">
      <c r="A13" s="13" t="inlineStr">
        <is>
          <t xml:space="preserve">　　　　　└うち給与・賃金</t>
        </is>
      </c>
      <c r="B13" s="20">
        <f>人件費・給与支給総額!C13</f>
        <v>0</v>
      </c>
      <c r="C13" s="20">
        <f>B13</f>
        <v>0</v>
      </c>
      <c r="D13" s="20">
        <f>C13</f>
        <v>0</v>
      </c>
      <c r="E13" s="20">
        <f>D13</f>
        <v>0</v>
      </c>
      <c r="F13" s="20">
        <f>E13</f>
        <v>0</v>
      </c>
      <c r="G13" s="20">
        <f>F13</f>
        <v>0</v>
      </c>
      <c r="H13" s="20">
        <f>G13</f>
        <v>0</v>
      </c>
      <c r="I13" s="20">
        <f>H13</f>
        <v>0</v>
      </c>
    </row>
    <row r="14" ht="14.1" customHeight="1" s="61">
      <c r="A14" s="18" t="inlineStr">
        <is>
          <t xml:space="preserve">　　　└うち従業員給与支給総額</t>
        </is>
      </c>
      <c r="B14" s="19">
        <f>人件費・給与支給総額!C14</f>
        <v>620349460</v>
      </c>
      <c r="C14" s="19">
        <f>C15+C16</f>
        <v>624839282</v>
      </c>
      <c r="D14" s="19">
        <f>D15+D16</f>
        <v>658128742</v>
      </c>
      <c r="E14" s="19">
        <f>E15+E16</f>
        <v>692453246</v>
      </c>
      <c r="F14" s="19">
        <f>F15+F16</f>
        <v>732269307</v>
      </c>
      <c r="G14" s="19">
        <f>G15+G16</f>
        <v>769992862</v>
      </c>
      <c r="H14" s="19">
        <f>H15+H16</f>
        <v>813632509</v>
      </c>
      <c r="I14" s="19">
        <f>I15+I16</f>
        <v>855065180</v>
      </c>
    </row>
    <row r="15" ht="14.1" customHeight="1" s="61">
      <c r="A15" s="13" t="inlineStr">
        <is>
          <t xml:space="preserve">　　　　　└うち賞与</t>
        </is>
      </c>
      <c r="B15" s="20">
        <f>人件費・給与支給総額!C15</f>
        <v>153907318</v>
      </c>
      <c r="C15" s="20">
        <f>ROUND(B15*(1+C$4)*C$42/B$42,0)</f>
        <v>155021233</v>
      </c>
      <c r="D15" s="20">
        <f>ROUND(C15*(1+D$4)*D$42/C$42,0)</f>
        <v>163280274</v>
      </c>
      <c r="E15" s="20">
        <f>ROUND(D15*(1+E$4)*E$42/D$42,0)</f>
        <v>171796107</v>
      </c>
      <c r="F15" s="20">
        <f>ROUND(E15*(1+F$4)*F$42/E$42,0)</f>
        <v>181674383</v>
      </c>
      <c r="G15" s="20">
        <f>ROUND(F15*(1+G$4)*G$42/F$42,0)</f>
        <v>191033513</v>
      </c>
      <c r="H15" s="20">
        <f>ROUND(G15*(1+H$4)*H$42/G$42,0)</f>
        <v>201860412</v>
      </c>
      <c r="I15" s="20">
        <f>ROUND(H15*(1+I$4)*I$42/H$42,0)</f>
        <v>212139765</v>
      </c>
    </row>
    <row r="16" ht="14.1" customHeight="1" s="61">
      <c r="A16" s="13" t="inlineStr">
        <is>
          <t xml:space="preserve">　　　　　└うち給与・賃金</t>
        </is>
      </c>
      <c r="B16" s="20">
        <f>人件費・給与支給総額!C16</f>
        <v>466442142</v>
      </c>
      <c r="C16" s="20">
        <f>ROUND(B16*(1+C$4)*C$42/B$42,0)</f>
        <v>469818049</v>
      </c>
      <c r="D16" s="20">
        <f>ROUND(C16*(1+D$4)*D$42/C$42,0)</f>
        <v>494848468</v>
      </c>
      <c r="E16" s="20">
        <f>ROUND(D16*(1+E$4)*E$42/D$42,0)</f>
        <v>520657139</v>
      </c>
      <c r="F16" s="20">
        <f>ROUND(E16*(1+F$4)*F$42/E$42,0)</f>
        <v>550594924</v>
      </c>
      <c r="G16" s="20">
        <f>ROUND(F16*(1+G$4)*G$42/F$42,0)</f>
        <v>578959349</v>
      </c>
      <c r="H16" s="20">
        <f>ROUND(G16*(1+H$4)*H$42/G$42,0)</f>
        <v>611772097</v>
      </c>
      <c r="I16" s="20">
        <f>ROUND(H16*(1+I$4)*I$42/H$42,0)</f>
        <v>642925415</v>
      </c>
    </row>
    <row r="17" ht="14.1" customHeight="1" s="61">
      <c r="A17" s="23" t="inlineStr">
        <is>
          <t xml:space="preserve">　└うち減価償却費</t>
        </is>
      </c>
      <c r="B17" s="24">
        <f>人件費・給与支給総額!J11</f>
        <v>274032833</v>
      </c>
      <c r="C17" s="24">
        <f>$B$17+C5</f>
        <v>274032833</v>
      </c>
      <c r="D17" s="24">
        <f>$B$17+D5</f>
        <v>274032833</v>
      </c>
      <c r="E17" s="24">
        <f>$B$17+E5</f>
        <v>283232833</v>
      </c>
      <c r="F17" s="24">
        <f>$B$17+F5</f>
        <v>283232833</v>
      </c>
      <c r="G17" s="24">
        <f>$B$17+G5</f>
        <v>283232833</v>
      </c>
      <c r="H17" s="24">
        <f>$B$17+H5</f>
        <v>283232833</v>
      </c>
      <c r="I17" s="24">
        <f>$B$17+I5</f>
        <v>283232833</v>
      </c>
    </row>
    <row r="18" ht="14.1" customHeight="1" s="61">
      <c r="A18" s="14" t="inlineStr">
        <is>
          <t xml:space="preserve">　粗利</t>
        </is>
      </c>
      <c r="B18" s="15">
        <f>B7-B8</f>
        <v>1051124277</v>
      </c>
      <c r="C18" s="15">
        <f>C7-C8</f>
        <v>1069026113</v>
      </c>
      <c r="D18" s="15">
        <f>D7-D8</f>
        <v>1093116044</v>
      </c>
      <c r="E18" s="15">
        <f>E7-E8</f>
        <v>1166757546</v>
      </c>
      <c r="F18" s="15">
        <f>F7-F8</f>
        <v>1244541383</v>
      </c>
      <c r="G18" s="15">
        <f>G7-G8</f>
        <v>1326681114</v>
      </c>
      <c r="H18" s="15">
        <f>H7-H8</f>
        <v>1420131237</v>
      </c>
      <c r="I18" s="15">
        <f>I7-I8</f>
        <v>1518934681</v>
      </c>
      <c r="K18" s="27" t="n"/>
    </row>
    <row r="19" ht="14.1" customHeight="1" s="61">
      <c r="A19" s="14" t="inlineStr">
        <is>
          <t xml:space="preserve">　販管費</t>
        </is>
      </c>
      <c r="B19" s="15" t="n">
        <v>846301227</v>
      </c>
      <c r="C19" s="15">
        <f>C20+C27+C28</f>
        <v>856223758</v>
      </c>
      <c r="D19" s="15">
        <f>D20+D27+D28</f>
        <v>878831451</v>
      </c>
      <c r="E19" s="15">
        <f>E20+E27+E28</f>
        <v>915733024</v>
      </c>
      <c r="F19" s="15">
        <f>F20+F27+F28</f>
        <v>955904165</v>
      </c>
      <c r="G19" s="15">
        <f>G20+G27+G28</f>
        <v>996077390</v>
      </c>
      <c r="H19" s="15">
        <f>H20+H27+H28</f>
        <v>1039776714</v>
      </c>
      <c r="I19" s="15">
        <f>I20+I27+I28</f>
        <v>1083502800</v>
      </c>
    </row>
    <row r="20" ht="14.1" customHeight="1" s="61">
      <c r="A20" s="23" t="inlineStr">
        <is>
          <t xml:space="preserve">　└うち人件費</t>
        </is>
      </c>
      <c r="B20" s="30">
        <f>人件費・給与支給総額!C28</f>
        <v>288688854</v>
      </c>
      <c r="C20" s="30">
        <f>C33-C10</f>
        <v>290644025</v>
      </c>
      <c r="D20" s="30">
        <f>D33-D10</f>
        <v>305140497</v>
      </c>
      <c r="E20" s="24">
        <f>E33-E10</f>
        <v>320087697</v>
      </c>
      <c r="F20" s="24">
        <f>F33-F10</f>
        <v>337426290</v>
      </c>
      <c r="G20" s="24">
        <f>G33-G10</f>
        <v>353853666</v>
      </c>
      <c r="H20" s="24">
        <f>H33-H10</f>
        <v>372857306</v>
      </c>
      <c r="I20" s="24">
        <f>I33-I10</f>
        <v>390899881</v>
      </c>
    </row>
    <row r="21" ht="14.1" customHeight="1" s="61">
      <c r="A21" s="18" t="inlineStr">
        <is>
          <t xml:space="preserve">　　　└うち役員給与支給総額</t>
        </is>
      </c>
      <c r="B21" s="19">
        <f>人件費・給与支給総額!C29</f>
        <v>65655000</v>
      </c>
      <c r="C21" s="19">
        <f>C22+C23</f>
        <v>65655000</v>
      </c>
      <c r="D21" s="19">
        <f>D22+D23</f>
        <v>65655000</v>
      </c>
      <c r="E21" s="19">
        <f>E22+E23</f>
        <v>65655000</v>
      </c>
      <c r="F21" s="19">
        <f>F22+F23</f>
        <v>65655000</v>
      </c>
      <c r="G21" s="19">
        <f>G22+G23</f>
        <v>65655000</v>
      </c>
      <c r="H21" s="19">
        <f>H22+H23</f>
        <v>65655000</v>
      </c>
      <c r="I21" s="19">
        <f>I22+I23</f>
        <v>65655000</v>
      </c>
    </row>
    <row r="22" ht="14.1" customHeight="1" s="61">
      <c r="A22" s="13" t="inlineStr">
        <is>
          <t xml:space="preserve">　　　　　└うち賞与</t>
        </is>
      </c>
      <c r="B22" s="20">
        <f>人件費・給与支給総額!C30</f>
        <v>0</v>
      </c>
      <c r="C22" s="20">
        <f>B22</f>
        <v>0</v>
      </c>
      <c r="D22" s="20">
        <f>C22</f>
        <v>0</v>
      </c>
      <c r="E22" s="28">
        <f>D22</f>
        <v>0</v>
      </c>
      <c r="F22" s="28">
        <f>E22</f>
        <v>0</v>
      </c>
      <c r="G22" s="28">
        <f>F22</f>
        <v>0</v>
      </c>
      <c r="H22" s="28">
        <f>G22</f>
        <v>0</v>
      </c>
      <c r="I22" s="28">
        <f>H22</f>
        <v>0</v>
      </c>
    </row>
    <row r="23" ht="14.1" customHeight="1" s="61">
      <c r="A23" s="13" t="inlineStr">
        <is>
          <t xml:space="preserve">　　　　　└うち給与・賃金</t>
        </is>
      </c>
      <c r="B23" s="20">
        <f>人件費・給与支給総額!C31</f>
        <v>65655000</v>
      </c>
      <c r="C23" s="20">
        <f>B23</f>
        <v>65655000</v>
      </c>
      <c r="D23" s="20">
        <f>C23</f>
        <v>65655000</v>
      </c>
      <c r="E23" s="20">
        <f>D23</f>
        <v>65655000</v>
      </c>
      <c r="F23" s="20">
        <f>E23</f>
        <v>65655000</v>
      </c>
      <c r="G23" s="20">
        <f>F23</f>
        <v>65655000</v>
      </c>
      <c r="H23" s="20">
        <f>G23</f>
        <v>65655000</v>
      </c>
      <c r="I23" s="20">
        <f>H23</f>
        <v>65655000</v>
      </c>
    </row>
    <row r="24" ht="14.1" customHeight="1" s="61">
      <c r="A24" s="18" t="inlineStr">
        <is>
          <t xml:space="preserve">　　　└うち従業員給与支給総額</t>
        </is>
      </c>
      <c r="B24" s="19">
        <f>人件費・給与支給総額!C32</f>
        <v>173507534</v>
      </c>
      <c r="C24" s="19">
        <f>C25+C26</f>
        <v>174763306</v>
      </c>
      <c r="D24" s="19">
        <f>D25+D26</f>
        <v>184074142</v>
      </c>
      <c r="E24" s="19">
        <f>E25+E26</f>
        <v>193674473</v>
      </c>
      <c r="F24" s="19">
        <f>F25+F26</f>
        <v>204810756</v>
      </c>
      <c r="G24" s="19">
        <f>G25+G26</f>
        <v>215361778</v>
      </c>
      <c r="H24" s="19">
        <f>H25+H26</f>
        <v>227567492</v>
      </c>
      <c r="I24" s="19">
        <f>I25+I26</f>
        <v>239155929</v>
      </c>
    </row>
    <row r="25" ht="14.1" customHeight="1" s="61">
      <c r="A25" s="13" t="inlineStr">
        <is>
          <t xml:space="preserve">　　　　　└うち賞与</t>
        </is>
      </c>
      <c r="B25" s="20">
        <f>人件費・給与支給総額!C33</f>
        <v>50163729</v>
      </c>
      <c r="C25" s="20">
        <f>ROUND(B25*(1+C$4)*C$42/B$42,0)</f>
        <v>50526792</v>
      </c>
      <c r="D25" s="20">
        <f>ROUND(C25*(1+D$4)*D$42/C$42,0)</f>
        <v>53218700</v>
      </c>
      <c r="E25" s="20">
        <f>ROUND(D25*(1+E$4)*E$42/D$42,0)</f>
        <v>55994305</v>
      </c>
      <c r="F25" s="20">
        <f>ROUND(E25*(1+F$4)*F$42/E$42,0)</f>
        <v>59213978</v>
      </c>
      <c r="G25" s="20">
        <f>ROUND(F25*(1+G$4)*G$42/F$42,0)</f>
        <v>62264443</v>
      </c>
      <c r="H25" s="20">
        <f>ROUND(G25*(1+H$4)*H$42/G$42,0)</f>
        <v>65793305</v>
      </c>
      <c r="I25" s="20">
        <f>ROUND(H25*(1+I$4)*I$42/H$42,0)</f>
        <v>69143703</v>
      </c>
    </row>
    <row r="26" ht="14.1" customHeight="1" s="61">
      <c r="A26" s="13" t="inlineStr">
        <is>
          <t xml:space="preserve">　　　　　└うち給与・賃金</t>
        </is>
      </c>
      <c r="B26" s="20">
        <f>人件費・給与支給総額!C34</f>
        <v>123343805</v>
      </c>
      <c r="C26" s="20">
        <f>ROUND(B26*(1+C$4)*C$42/B$42,0)</f>
        <v>124236514</v>
      </c>
      <c r="D26" s="20">
        <f>ROUND(C26*(1+D$4)*D$42/C$42,0)</f>
        <v>130855442</v>
      </c>
      <c r="E26" s="28">
        <f>ROUND(D26*(1+E$4)*E$42/D$42,0)</f>
        <v>137680168</v>
      </c>
      <c r="F26" s="28">
        <f>ROUND(E26*(1+F$4)*F$42/E$42,0)</f>
        <v>145596778</v>
      </c>
      <c r="G26" s="28">
        <f>ROUND(F26*(1+G$4)*G$42/F$42,0)</f>
        <v>153097335</v>
      </c>
      <c r="H26" s="28">
        <f>ROUND(G26*(1+H$4)*H$42/G$42,0)</f>
        <v>161774187</v>
      </c>
      <c r="I26" s="28">
        <f>ROUND(H26*(1+I$4)*I$42/H$42,0)</f>
        <v>170012226</v>
      </c>
    </row>
    <row r="27" ht="14.1" customHeight="1" s="61">
      <c r="A27" s="23" t="inlineStr">
        <is>
          <t xml:space="preserve">　└うち減価償却費</t>
        </is>
      </c>
      <c r="B27" s="24">
        <f>人件費・給与支給総額!J12</f>
        <v>24831635</v>
      </c>
      <c r="C27" s="24">
        <f>$B$27</f>
        <v>24831635</v>
      </c>
      <c r="D27" s="24">
        <f>$B$27</f>
        <v>24831635</v>
      </c>
      <c r="E27" s="24">
        <f>$B$27</f>
        <v>24831635</v>
      </c>
      <c r="F27" s="24">
        <f>$B$27</f>
        <v>24831635</v>
      </c>
      <c r="G27" s="24">
        <f>$B$27</f>
        <v>24831635</v>
      </c>
      <c r="H27" s="24">
        <f>$B$27</f>
        <v>24831635</v>
      </c>
      <c r="I27" s="24">
        <f>$B$27</f>
        <v>24831635</v>
      </c>
      <c r="J27" s="29" t="n"/>
    </row>
    <row r="28" ht="14.1" customHeight="1" s="61">
      <c r="A28" s="23" t="inlineStr">
        <is>
          <t xml:space="preserve">　└その他販管費</t>
        </is>
      </c>
      <c r="B28" s="24">
        <f>B19-B20-B27</f>
        <v>532780738</v>
      </c>
      <c r="C28" s="24">
        <f>ROUND(C7*C$3,0)</f>
        <v>540748098</v>
      </c>
      <c r="D28" s="24">
        <f>ROUND(D7*D$3,0)</f>
        <v>548859319</v>
      </c>
      <c r="E28" s="24">
        <f>ROUND(E7*E$3,0)</f>
        <v>570813692</v>
      </c>
      <c r="F28" s="24">
        <f>ROUND(F7*F$3,0)</f>
        <v>593646240</v>
      </c>
      <c r="G28" s="24">
        <f>ROUND(G7*G$3,0)</f>
        <v>617392089</v>
      </c>
      <c r="H28" s="24">
        <f>ROUND(H7*H$3,0)</f>
        <v>642087773</v>
      </c>
      <c r="I28" s="24">
        <f>ROUND(I7*I$3,0)</f>
        <v>667771284</v>
      </c>
    </row>
    <row r="29" ht="14.1" customHeight="1" s="61">
      <c r="A29" s="32" t="inlineStr">
        <is>
          <t xml:space="preserve">　　（その他販管費率：対売上）</t>
        </is>
      </c>
      <c r="B29" s="72">
        <f>B28/B7</f>
        <v>0.0477021480696715</v>
      </c>
      <c r="C29" s="72">
        <f>C28/C7</f>
        <v>0.0477000000345347</v>
      </c>
      <c r="D29" s="72">
        <f>D28/D7</f>
        <v>0.0476999999919263</v>
      </c>
      <c r="E29" s="72">
        <f>E28/E7</f>
        <v>0.0477000000123008</v>
      </c>
      <c r="F29" s="72">
        <f>F28/F7</f>
        <v>0.0477000000363266</v>
      </c>
      <c r="G29" s="72">
        <f>G28/G7</f>
        <v>0.0476999999902652</v>
      </c>
      <c r="H29" s="72">
        <f>H28/H7</f>
        <v>0.047700000023661</v>
      </c>
      <c r="I29" s="72">
        <f>I28/I7</f>
        <v>0.0477000000286941</v>
      </c>
    </row>
    <row r="30" ht="14.1" customHeight="1" s="61">
      <c r="A30" s="14" t="inlineStr">
        <is>
          <t>②営業利益</t>
        </is>
      </c>
      <c r="B30" s="15">
        <f>B18-B19</f>
        <v>204823050</v>
      </c>
      <c r="C30" s="15">
        <f>C18-C19</f>
        <v>212802355</v>
      </c>
      <c r="D30" s="15">
        <f>D18-D19</f>
        <v>214284593</v>
      </c>
      <c r="E30" s="15">
        <f>E18-E19</f>
        <v>251024522</v>
      </c>
      <c r="F30" s="15">
        <f>F18-F19</f>
        <v>288637218</v>
      </c>
      <c r="G30" s="15">
        <f>G18-G19</f>
        <v>330603724</v>
      </c>
      <c r="H30" s="15">
        <f>H18-H19</f>
        <v>380354523</v>
      </c>
      <c r="I30" s="15">
        <f>I18-I19</f>
        <v>435431881</v>
      </c>
    </row>
    <row r="31" ht="14.1" customHeight="1" s="61">
      <c r="A31" s="32" t="inlineStr">
        <is>
          <t xml:space="preserve">　　（営業利益率）</t>
        </is>
      </c>
      <c r="B31" s="34">
        <f>B30/B7</f>
        <v>0.0183386874980862</v>
      </c>
      <c r="C31" s="34">
        <f>C30/C7</f>
        <v>0.0187715359118083</v>
      </c>
      <c r="D31" s="34">
        <f>D30/D7</f>
        <v>0.0186229416729097</v>
      </c>
      <c r="E31" s="34">
        <f>E30/E7</f>
        <v>0.020976843881467</v>
      </c>
      <c r="F31" s="34">
        <f>F30/F7</f>
        <v>0.0231922555579316</v>
      </c>
      <c r="G31" s="34">
        <f>G30/G7</f>
        <v>0.0255425975041634</v>
      </c>
      <c r="H31" s="34">
        <f>H30/H7</f>
        <v>0.0282561224789116</v>
      </c>
      <c r="I31" s="34">
        <f>I30/I7</f>
        <v>0.0311036147163739</v>
      </c>
    </row>
    <row r="32" ht="14.1" customHeight="1" s="61">
      <c r="A32" s="14" t="inlineStr">
        <is>
          <t>③経常利益</t>
        </is>
      </c>
      <c r="B32" s="39" t="n">
        <v>205886748</v>
      </c>
      <c r="C32" s="39">
        <f>C30+($B$32-$B$30)</f>
        <v>213866053</v>
      </c>
      <c r="D32" s="39">
        <f>D30+($B$32-$B$30)</f>
        <v>215348291</v>
      </c>
      <c r="E32" s="49">
        <f>E30+($B$32-$B$30)</f>
        <v>252088220</v>
      </c>
      <c r="F32" s="49">
        <f>F30+($B$32-$B$30)</f>
        <v>289700916</v>
      </c>
      <c r="G32" s="49">
        <f>G30+($B$32-$B$30)</f>
        <v>331667422</v>
      </c>
      <c r="H32" s="49">
        <f>H30+($B$32-$B$30)</f>
        <v>381418221</v>
      </c>
      <c r="I32" s="49">
        <f>I30+($B$32-$B$30)</f>
        <v>436495579</v>
      </c>
    </row>
    <row r="33" ht="14.1" customHeight="1" s="61">
      <c r="A33" s="16" t="inlineStr">
        <is>
          <t>④人件費計</t>
        </is>
      </c>
      <c r="B33" s="17">
        <f>B10+B20</f>
        <v>1021940577</v>
      </c>
      <c r="C33" s="17">
        <f>ROUND(C48*C42+C34,0)</f>
        <v>1028861760</v>
      </c>
      <c r="D33" s="17">
        <f>ROUND(D48*D42+D34,0)</f>
        <v>1080178369</v>
      </c>
      <c r="E33" s="17">
        <f>ROUND(E48*E42+E34,0)</f>
        <v>1133090527</v>
      </c>
      <c r="F33" s="17">
        <f>ROUND(F48*F42+F34,0)</f>
        <v>1194468069</v>
      </c>
      <c r="G33" s="17">
        <f>ROUND(G48*G42+G34,0)</f>
        <v>1252619955</v>
      </c>
      <c r="H33" s="17">
        <f>ROUND(H48*H42+H34,0)</f>
        <v>1319891660</v>
      </c>
      <c r="I33" s="17">
        <f>ROUND(I48*I42+I34,0)</f>
        <v>1383761250</v>
      </c>
    </row>
    <row r="34" ht="14.1" customHeight="1" s="61">
      <c r="A34" s="18" t="inlineStr">
        <is>
          <t xml:space="preserve">　└役員報酬給与支給総額</t>
        </is>
      </c>
      <c r="B34" s="19">
        <f>B11+B21</f>
        <v>65655000</v>
      </c>
      <c r="C34" s="19">
        <f>C11+C21</f>
        <v>65655000</v>
      </c>
      <c r="D34" s="19">
        <f>D11+D21</f>
        <v>65655000</v>
      </c>
      <c r="E34" s="19">
        <f>E11+E21</f>
        <v>65655000</v>
      </c>
      <c r="F34" s="19">
        <f>F11+F21</f>
        <v>65655000</v>
      </c>
      <c r="G34" s="19">
        <f>G11+G21</f>
        <v>65655000</v>
      </c>
      <c r="H34" s="19">
        <f>H11+H21</f>
        <v>65655000</v>
      </c>
      <c r="I34" s="19">
        <f>I11+I21</f>
        <v>65655000</v>
      </c>
    </row>
    <row r="35" ht="14.1" customHeight="1" s="61">
      <c r="A35" s="13" t="inlineStr">
        <is>
          <t xml:space="preserve">　　　　　└うち賞与</t>
        </is>
      </c>
      <c r="B35" s="20">
        <f>B12+B22</f>
        <v>0</v>
      </c>
      <c r="C35" s="20">
        <f>C12+C22</f>
        <v>0</v>
      </c>
      <c r="D35" s="20">
        <f>D12+D22</f>
        <v>0</v>
      </c>
      <c r="E35" s="20">
        <f>E12+E22</f>
        <v>0</v>
      </c>
      <c r="F35" s="20">
        <f>F12+F22</f>
        <v>0</v>
      </c>
      <c r="G35" s="20">
        <f>G12+G22</f>
        <v>0</v>
      </c>
      <c r="H35" s="20">
        <f>H12+H22</f>
        <v>0</v>
      </c>
      <c r="I35" s="20">
        <f>I12+I22</f>
        <v>0</v>
      </c>
    </row>
    <row r="36" ht="14.1" customHeight="1" s="61">
      <c r="A36" s="13" t="inlineStr">
        <is>
          <t xml:space="preserve">　　　　　└うち給与・賃金</t>
        </is>
      </c>
      <c r="B36" s="20">
        <f>B13+B23</f>
        <v>65655000</v>
      </c>
      <c r="C36" s="20">
        <f>C13+C23</f>
        <v>65655000</v>
      </c>
      <c r="D36" s="20">
        <f>D13+D23</f>
        <v>65655000</v>
      </c>
      <c r="E36" s="20">
        <f>E13+E23</f>
        <v>65655000</v>
      </c>
      <c r="F36" s="20">
        <f>F13+F23</f>
        <v>65655000</v>
      </c>
      <c r="G36" s="20">
        <f>G13+G23</f>
        <v>65655000</v>
      </c>
      <c r="H36" s="20">
        <f>H13+H23</f>
        <v>65655000</v>
      </c>
      <c r="I36" s="20">
        <f>I13+I23</f>
        <v>65655000</v>
      </c>
    </row>
    <row r="37" ht="14.1" customHeight="1" s="61">
      <c r="A37" s="18" t="inlineStr">
        <is>
          <t xml:space="preserve">　└従業員給与支給総額</t>
        </is>
      </c>
      <c r="B37" s="19">
        <f>B14+B24</f>
        <v>793856994</v>
      </c>
      <c r="C37" s="19">
        <f>C14+C24</f>
        <v>799602588</v>
      </c>
      <c r="D37" s="19">
        <f>D14+D24</f>
        <v>842202884</v>
      </c>
      <c r="E37" s="19">
        <f>E14+E24</f>
        <v>886127719</v>
      </c>
      <c r="F37" s="19">
        <f>F14+F24</f>
        <v>937080063</v>
      </c>
      <c r="G37" s="19">
        <f>G14+G24</f>
        <v>985354640</v>
      </c>
      <c r="H37" s="19">
        <f>H14+H24</f>
        <v>1041200001</v>
      </c>
      <c r="I37" s="19">
        <f>I14+I24</f>
        <v>1094221109</v>
      </c>
    </row>
    <row r="38" ht="14.1" customHeight="1" s="61">
      <c r="A38" s="13" t="inlineStr">
        <is>
          <t xml:space="preserve">　　　　　└うち賞与</t>
        </is>
      </c>
      <c r="B38" s="20">
        <f>B15+B25</f>
        <v>204071047</v>
      </c>
      <c r="C38" s="20">
        <f>C15+C25</f>
        <v>205548025</v>
      </c>
      <c r="D38" s="20">
        <f>D15+D25</f>
        <v>216498974</v>
      </c>
      <c r="E38" s="20">
        <f>E15+E25</f>
        <v>227790412</v>
      </c>
      <c r="F38" s="20">
        <f>F15+F25</f>
        <v>240888361</v>
      </c>
      <c r="G38" s="20">
        <f>G15+G25</f>
        <v>253297956</v>
      </c>
      <c r="H38" s="20">
        <f>H15+H25</f>
        <v>267653717</v>
      </c>
      <c r="I38" s="20">
        <f>I15+I25</f>
        <v>281283468</v>
      </c>
    </row>
    <row r="39" ht="14.1" customHeight="1" s="61">
      <c r="A39" s="13" t="inlineStr">
        <is>
          <t xml:space="preserve">　　　　　└うち給与・賃金</t>
        </is>
      </c>
      <c r="B39" s="20">
        <f>B16+B26</f>
        <v>589785947</v>
      </c>
      <c r="C39" s="20">
        <f>C16+C26</f>
        <v>594054563</v>
      </c>
      <c r="D39" s="20">
        <f>D16+D26</f>
        <v>625703910</v>
      </c>
      <c r="E39" s="20">
        <f>E16+E26</f>
        <v>658337307</v>
      </c>
      <c r="F39" s="20">
        <f>F16+F26</f>
        <v>696191702</v>
      </c>
      <c r="G39" s="20">
        <f>G16+G26</f>
        <v>732056684</v>
      </c>
      <c r="H39" s="20">
        <f>H16+H26</f>
        <v>773546284</v>
      </c>
      <c r="I39" s="20">
        <f>I16+I26</f>
        <v>812937641</v>
      </c>
    </row>
    <row r="40" ht="14.1" customHeight="1" s="61">
      <c r="A40" s="14" t="inlineStr">
        <is>
          <t>⑤減価償却費</t>
        </is>
      </c>
      <c r="B40" s="15">
        <f>B17+B27</f>
        <v>298864468</v>
      </c>
      <c r="C40" s="15">
        <f>C17+C27</f>
        <v>298864468</v>
      </c>
      <c r="D40" s="15">
        <f>D17+D27</f>
        <v>298864468</v>
      </c>
      <c r="E40" s="15">
        <f>E17+E27</f>
        <v>308064468</v>
      </c>
      <c r="F40" s="15">
        <f>F17+F27</f>
        <v>308064468</v>
      </c>
      <c r="G40" s="15">
        <f>G17+G27</f>
        <v>308064468</v>
      </c>
      <c r="H40" s="15">
        <f>H17+H27</f>
        <v>308064468</v>
      </c>
      <c r="I40" s="15">
        <f>I17+I27</f>
        <v>308064468</v>
      </c>
      <c r="J40" s="29" t="n"/>
      <c r="K40" s="64" t="n"/>
    </row>
    <row r="41" ht="28.5" customHeight="1" s="61">
      <c r="A41" s="21" t="inlineStr">
        <is>
          <t>付加価値額
（②＋④＋⑤）</t>
        </is>
      </c>
      <c r="B41" s="20">
        <f>B30+B33+B40</f>
        <v>1525628095</v>
      </c>
      <c r="C41" s="20">
        <f>C30+C33+C40</f>
        <v>1540528583</v>
      </c>
      <c r="D41" s="20">
        <f>D30+D33+D40</f>
        <v>1593327430</v>
      </c>
      <c r="E41" s="20">
        <f>E30+E33+E40</f>
        <v>1692179517</v>
      </c>
      <c r="F41" s="20">
        <f>F30+F33+F40</f>
        <v>1791169755</v>
      </c>
      <c r="G41" s="20">
        <f>G30+G33+G40</f>
        <v>1891288147</v>
      </c>
      <c r="H41" s="20">
        <f>H30+H33+H40</f>
        <v>2008310651</v>
      </c>
      <c r="I41" s="20">
        <f>I30+I33+I40</f>
        <v>2127257599</v>
      </c>
      <c r="J41" s="29" t="n"/>
    </row>
    <row r="42" ht="14.1" customHeight="1" s="61">
      <c r="A42" s="22" t="inlineStr">
        <is>
          <t>従業員人数（常勤）</t>
        </is>
      </c>
      <c r="B42" s="74" t="n">
        <v>181</v>
      </c>
      <c r="C42" s="74" t="n">
        <v>177</v>
      </c>
      <c r="D42" s="74" t="n">
        <v>181</v>
      </c>
      <c r="E42" s="74" t="n">
        <v>184</v>
      </c>
      <c r="F42" s="74" t="n">
        <v>188</v>
      </c>
      <c r="G42" s="74" t="n">
        <v>191</v>
      </c>
      <c r="H42" s="74" t="n">
        <v>195</v>
      </c>
      <c r="I42" s="74" t="n">
        <v>198</v>
      </c>
    </row>
    <row r="43" ht="28.5" customHeight="1" s="61">
      <c r="A43" s="22" t="inlineStr">
        <is>
          <t>A:全月分の給与等の支給を受けた従業員の給与支給総額</t>
        </is>
      </c>
      <c r="B43" s="74" t="n">
        <v>717003483</v>
      </c>
      <c r="C43" s="20">
        <f>C45*C44</f>
        <v>787608582</v>
      </c>
      <c r="D43" s="20">
        <f>D45*D44</f>
        <v>829735675</v>
      </c>
      <c r="E43" s="20">
        <f>E45*E44</f>
        <v>873184880</v>
      </c>
      <c r="F43" s="20">
        <f>F45*F44</f>
        <v>923577636</v>
      </c>
      <c r="G43" s="20">
        <f>G45*G44</f>
        <v>971350746</v>
      </c>
      <c r="H43" s="20">
        <f>H45*H44</f>
        <v>1026607530</v>
      </c>
      <c r="I43" s="20">
        <f>I45*I44</f>
        <v>1079101188</v>
      </c>
    </row>
    <row r="44" ht="28.5" customHeight="1" s="61">
      <c r="A44" s="22" t="inlineStr">
        <is>
          <t>B：全月分の給与等の支給を受けた従業員数</t>
        </is>
      </c>
      <c r="B44" s="74" t="n">
        <v>166</v>
      </c>
      <c r="C44" s="20">
        <f>C42</f>
        <v>177</v>
      </c>
      <c r="D44" s="20">
        <f>D42</f>
        <v>181</v>
      </c>
      <c r="E44" s="28">
        <f>E42</f>
        <v>184</v>
      </c>
      <c r="F44" s="28">
        <f>F42</f>
        <v>188</v>
      </c>
      <c r="G44" s="28">
        <f>G42</f>
        <v>191</v>
      </c>
      <c r="H44" s="28">
        <f>H42</f>
        <v>195</v>
      </c>
      <c r="I44" s="28">
        <f>I42</f>
        <v>198</v>
      </c>
    </row>
    <row r="45" ht="28.5" customHeight="1" s="61">
      <c r="A45" s="22" t="inlineStr">
        <is>
          <t>従業員一人当たり給与支給総額
（A÷B）</t>
        </is>
      </c>
      <c r="B45" s="20">
        <f>B43/B44</f>
        <v>4319298.09036145</v>
      </c>
      <c r="C45" s="20">
        <f>ROUNDDOWN(B45*(1+C$4)*(1+$B$49),0)</f>
        <v>4449766</v>
      </c>
      <c r="D45" s="20">
        <f>ROUNDDOWN(C45*(1+D$4)*(1+$B$49),0)</f>
        <v>4584175</v>
      </c>
      <c r="E45" s="20">
        <f>ROUNDDOWN(D45*(1+E$4)*(1+$B$49),0)</f>
        <v>4745570</v>
      </c>
      <c r="F45" s="20">
        <f>ROUNDDOWN(E45*(1+F$4)*(1+$B$49),0)</f>
        <v>4912647</v>
      </c>
      <c r="G45" s="20">
        <f>ROUNDDOWN(F45*(1+G$4)*(1+$B$49),0)</f>
        <v>5085606</v>
      </c>
      <c r="H45" s="20">
        <f>ROUNDDOWN(G45*(1+H$4)*(1+$B$49),0)</f>
        <v>5264654</v>
      </c>
      <c r="I45" s="20">
        <f>ROUNDDOWN(H45*(1+I$4)*(1+$B$49),0)</f>
        <v>5450006</v>
      </c>
      <c r="J45" s="35" t="n"/>
    </row>
    <row r="46" ht="14.1" customHeight="1" s="61">
      <c r="A46" s="21" t="inlineStr">
        <is>
          <t>役員数</t>
        </is>
      </c>
      <c r="B46" s="50" t="n">
        <v>7</v>
      </c>
      <c r="C46" s="50" t="n">
        <v>7</v>
      </c>
      <c r="D46" s="50">
        <f>C46</f>
        <v>7</v>
      </c>
      <c r="E46" s="50">
        <f>D46</f>
        <v>7</v>
      </c>
      <c r="F46" s="50">
        <f>E46</f>
        <v>7</v>
      </c>
      <c r="G46" s="50">
        <f>F46</f>
        <v>7</v>
      </c>
      <c r="H46" s="50">
        <f>G46</f>
        <v>7</v>
      </c>
      <c r="I46" s="50">
        <f>H46</f>
        <v>7</v>
      </c>
    </row>
    <row r="47" ht="19.5" customHeight="1" s="61">
      <c r="A47" s="51" t="inlineStr">
        <is>
          <t>全体の給与支給総額計</t>
        </is>
      </c>
      <c r="B47" s="52">
        <f>B34+B37</f>
        <v>859511994</v>
      </c>
      <c r="C47" s="52">
        <f>C34+C37</f>
        <v>865257588</v>
      </c>
      <c r="D47" s="52">
        <f>D34+D37</f>
        <v>907857884</v>
      </c>
      <c r="E47" s="52">
        <f>E34+E37</f>
        <v>951782719</v>
      </c>
      <c r="F47" s="52">
        <f>F34+F37</f>
        <v>1002735063</v>
      </c>
      <c r="G47" s="52">
        <f>G34+G37</f>
        <v>1051009640</v>
      </c>
      <c r="H47" s="52">
        <f>H34+H37</f>
        <v>1106855001</v>
      </c>
      <c r="I47" s="52">
        <f>I34+I37</f>
        <v>1159876109</v>
      </c>
    </row>
    <row r="48" ht="28.5" customHeight="1" s="61">
      <c r="A48" s="21" t="inlineStr">
        <is>
          <t>（計算用）従業員1人当たり人件費（法定福利費等込み）</t>
        </is>
      </c>
      <c r="B48" s="75">
        <f>(B33-B34)/B42</f>
        <v>5283345.72928177</v>
      </c>
      <c r="C48" s="75">
        <f>B48*(1+C$4)</f>
        <v>5441846.10116022</v>
      </c>
      <c r="D48" s="75">
        <f>C48*(1+D$4)</f>
        <v>5605101.48419503</v>
      </c>
      <c r="E48" s="75">
        <f>D48*(1+E$4)</f>
        <v>5801280.03614185</v>
      </c>
      <c r="F48" s="75">
        <f>E48*(1+F$4)</f>
        <v>6004324.83740682</v>
      </c>
      <c r="G48" s="75">
        <f>F48*(1+G$4)</f>
        <v>6214476.20671606</v>
      </c>
      <c r="H48" s="75">
        <f>G48*(1+H$4)</f>
        <v>6431982.87395112</v>
      </c>
      <c r="I48" s="75">
        <f>H48*(1+I$4)</f>
        <v>6657102.27453941</v>
      </c>
    </row>
    <row r="49" ht="28.5" customHeight="1" s="61">
      <c r="A49" s="21" t="inlineStr">
        <is>
          <t>（端数対策）全月分1人当たり給与の上乗せ率</t>
        </is>
      </c>
      <c r="B49" s="76" t="n">
        <v>0.0002</v>
      </c>
      <c r="C49" s="57" t="n"/>
      <c r="D49" s="57" t="n"/>
      <c r="E49" s="57" t="n"/>
      <c r="F49" s="57" t="n"/>
      <c r="G49" s="57" t="n"/>
      <c r="H49" s="57" t="n"/>
      <c r="I49" s="57" t="n"/>
    </row>
    <row r="50" ht="14.45" customHeight="1" s="61">
      <c r="A50" s="59" t="inlineStr">
        <is>
          <t>【算出根拠1】売上高（①）
2026年3月期実績11,168,904,537円を起点とする。進行期・基準年度は設備導入前で、価格転嫁による小幅な伸び（各+1.5%）にとどめる。1年目は装置の通年稼働で遅番の投入担当が不要になり、17.5時間稼働が安定するため、キャパ不足で断っていた約4億円規模の案件（年間800万袋×50円）を取り込み+4.0%（+460百万円。案件と価格転嫁の範囲内）とする。2年目は多能工化したパートが遅番オペレーターを担い、日勤に戻った社員が提案型ODM（機能性・介護・防災向け）を獲得、3年目はその定着を見込み、各+4.0%とする。目標値として策定する4・5年目も各+4.0%とする。年+4.0%は清涼飲料の生産者販売金額の伸び（2025年+5.3%）を下回る保守的な水準であり、Eライン横展開の効果は織り込まない。</t>
        </is>
      </c>
    </row>
    <row r="51" ht="14.45" customHeight="1" s="61"/>
    <row r="52" ht="14.45" customHeight="1" s="61"/>
    <row r="53" ht="51.2" customHeight="1" s="61"/>
    <row r="54" ht="19.5" customHeight="1" s="61">
      <c r="A54" s="31" t="n"/>
    </row>
    <row r="55" ht="14.25" customHeight="1" s="61">
      <c r="A55" s="59" t="inlineStr">
        <is>
          <t>【算出根拠2】売上原価
売上原価は、原価内の人件費・減価償却費を含む総額を「売上高×原価率」で計算する。原価率は2026年3月期実績90.59%→進行期90.57%→基準年度90.50%（価格転嫁でわずかに改善）→1年目90.25%→2年目90.00%→3年目89.75%（年0.25pt改善）とする。目標値として策定する4・5年目は、ODM比率の上昇が定着して年0.30pt改善し89.45%→89.15%とする。改善の理由は、①省力化による労務費の抑制（別紙３の労働時間削減額9,047,144円／年＝売上比約0.08pt）、②利益率の高い提案型ODM（小売PB商品の例：売価56円／原価44円）の比率向上、③価格転嫁の進展である。原価内の人件費（人件費計を2026年3月期の比率71.8%で按分）と減価償却費（本設備9,200,000円／年は原価に計上）の増加は総額に含め、材料費等の比率低下で吸収する前提である。</t>
        </is>
      </c>
    </row>
    <row r="56" ht="14.25" customHeight="1" s="61"/>
    <row r="57" ht="14.25" customHeight="1" s="61"/>
    <row r="58" ht="51.8" customHeight="1" s="61"/>
    <row r="59" ht="19.5" customHeight="1" s="61">
      <c r="A59" s="31" t="n"/>
    </row>
    <row r="60" ht="14.1" customHeight="1" s="61">
      <c r="A60" s="59" t="inlineStr">
        <is>
          <t>【算出根拠3】販管費
販管費＝販管費内の人件費＋販管費内の減価償却費＋その他販管費。販管費内の人件費は人件費計から原価内分を差し引いた額（2026年3月期の比率28.2%。役員報酬65,655,000円を含む）、販管費内の減価償却費は24,831,635円で横ばい、その他販管費は2026年3月期実績の売上高比4.77%（532,780,738円÷11,168,904,537円）を維持する。</t>
        </is>
      </c>
    </row>
    <row r="61" ht="14.1" customHeight="1" s="61"/>
    <row r="62" ht="14.1" customHeight="1" s="61"/>
    <row r="63" ht="20" customHeight="1" s="61"/>
    <row r="64" ht="19.5" customHeight="1" s="61">
      <c r="A64" s="31" t="n"/>
    </row>
    <row r="65" ht="14.85" customHeight="1" s="61">
      <c r="A65" s="59" t="inlineStr">
        <is>
          <t>【算出根拠4】人件費・1人当たり給与支給総額
人件費（法定福利費・福利厚生費・退職金を含む）は、2026年3月期の従業員1人当たり人件費5,283,346円（(1,021,940,577円−役員報酬65,655,000円)÷181名）に、1人当たり賃上げ率（足下3.0%、基準年度以降3.5%）を毎年乗じ、常勤従業員数（177→181→184→188→191名、4・5年目は195・198名。年3〜4名の新卒採用、退職は見込まない）を掛けて、役員報酬65,655,000円（据え置き）を加えて積算する。全月分の給与等の支給を受けた従業員の1人当たり給与支給総額は、2026年3月期4,319,298円（717,003,483円÷166名）を起点に同じ賃上げ率で引き上げ（様式の切捨て計算で要件を割り込まないよう0.02%を上乗せ）、基準年度4,584,175円→3年目5,085,606円（5年目5,450,006円）とする。全月分の従業員数は常勤従業員数と同数とし、給与支給総額＝1人当たり×人数（基準年度829,735,675円→3年目971,350,746円）。</t>
        </is>
      </c>
    </row>
    <row r="66" ht="14.85" customHeight="1" s="61"/>
    <row r="67" ht="14.85" customHeight="1" s="61"/>
    <row r="68" ht="50" customHeight="1" s="61"/>
    <row r="69" ht="19.5" customHeight="1" s="61">
      <c r="A69" s="31" t="n"/>
    </row>
    <row r="70" ht="14.1" customHeight="1" s="61">
      <c r="A70" s="59" t="inlineStr">
        <is>
          <t>【算出根拠5】減価償却費
既存設備の減価償却費は更新投資で維持されると仮定し、2026年3月期実績298,864,468円（原価内274,032,833円、販管費内24,831,635円）で横ばいとする。本事業の設備92,000,000円（税抜）は定額法・耐用年数10年で9,200,000円／年を、通年稼働となる1年目（2029年3月期）から売上原価に計上する（4・5年目も同額。基準年度は稼働が約2か月で、別紙４にも入力欄がないため計上しない）。</t>
        </is>
      </c>
    </row>
    <row r="71" ht="14.1" customHeight="1" s="61"/>
    <row r="72" ht="14.1" customHeight="1" s="61"/>
    <row r="73" ht="20" customHeight="1" s="61"/>
    <row r="74" ht="19.5" customHeight="1" s="61">
      <c r="A74" s="31" t="n"/>
    </row>
    <row r="75" ht="17.85" customHeight="1" s="61">
      <c r="A75" s="59" t="inlineStr">
        <is>
          <t>【算出根拠6】付加価値額・労働生産性と必須要件の達成状況
付加価値額＝営業利益＋人件費＋減価償却費。基準年度1,593,327,430円→3年目1,891,288,147円（+297,960,717円、年平均成長率5.88%）。労働生産性＝付加価値額÷（役員7名＋常勤従業員数）で、基準年度8,475,145.90円→3年目9,551,960.33円。年平均成長率は1年目4.53%・2年目4.10%・3年目4.06%で、毎年、要件4.0%以上を満たす。1人当たり給与支給総額の年平均成長率は、足下（2026年3月期→基準年度）3.02%（要件3.0%以上）、基準年度→3年目3.52%（要件3.5%以上）。目標値として策定する4・5年目は、付加価値額2,008,310,651円・2,127,257,599円、労働生産性の年平均成長率4.07%・4.13%、1人当たり給与支給総額3.52%で、5年目まで要件を上回る。成長率はいずれも別紙４と同じく小数第3位を切り捨てた値。労働分配率は2026年3月期67.0%→基準年度67.8%→3年目66.2%と推移し、賃上げと収益性を両立する。</t>
        </is>
      </c>
    </row>
    <row r="76" ht="17.85" customHeight="1" s="61"/>
    <row r="77" ht="17.85" customHeight="1" s="61"/>
    <row r="78" ht="40.9" customHeight="1" s="61"/>
    <row r="80" ht="16.5" customHeight="1" s="61">
      <c r="A80" s="53" t="inlineStr">
        <is>
          <t>労働生産性（付加価値額÷（従業員＋役員））</t>
        </is>
      </c>
      <c r="B80" s="77">
        <f>ROUNDDOWN(B41/(B42+B46),2)</f>
        <v>8115043.05</v>
      </c>
      <c r="C80" s="77">
        <f>ROUNDDOWN(C41/(C42+C46),2)</f>
        <v>8372437.95</v>
      </c>
      <c r="D80" s="77">
        <f>ROUNDDOWN(D41/(D42+D46),2)</f>
        <v>8475145.9</v>
      </c>
      <c r="E80" s="77">
        <f>ROUNDDOWN(E41/(E42+E46),2)</f>
        <v>8859578.62</v>
      </c>
      <c r="F80" s="77">
        <f>ROUNDDOWN(F41/(F42+F46),2)</f>
        <v>9185485.92</v>
      </c>
      <c r="G80" s="77">
        <f>ROUNDDOWN(G41/(G42+G46),2)</f>
        <v>9551960.33</v>
      </c>
      <c r="H80" s="77">
        <f>ROUNDDOWN(H41/(H42+H46),2)</f>
        <v>9942131.93</v>
      </c>
      <c r="I80" s="77">
        <f>ROUNDDOWN(I41/(I42+I46),2)</f>
        <v>10376866.33</v>
      </c>
    </row>
    <row r="81" ht="16.5" customHeight="1" s="61">
      <c r="A81" s="53" t="inlineStr">
        <is>
          <t>【要件確認】付加価値額の年平均成長率（基準年度比）</t>
        </is>
      </c>
      <c r="C81" s="55" t="n"/>
      <c r="D81" s="55" t="n"/>
      <c r="E81" s="55">
        <f>ROUNDDOWN(((E41/$D$41)^(1/(COLUMN(E41)-COLUMN($D$41)))-1)*100,2)/100</f>
        <v>0.062</v>
      </c>
      <c r="F81" s="55">
        <f>ROUNDDOWN(((F41/$D$41)^(1/(COLUMN(F41)-COLUMN($D$41)))-1)*100,2)/100</f>
        <v>0.0602</v>
      </c>
      <c r="G81" s="55">
        <f>ROUNDDOWN(((G41/$D$41)^(1/(COLUMN(G41)-COLUMN($D$41)))-1)*100,2)/100</f>
        <v>0.0588</v>
      </c>
      <c r="H81" s="55">
        <f>ROUNDDOWN(((H41/$D$41)^(1/(COLUMN(H41)-COLUMN($D$41)))-1)*100,2)/100</f>
        <v>0.0595</v>
      </c>
      <c r="I81" s="55">
        <f>ROUNDDOWN(((I41/$D$41)^(1/(COLUMN(I41)-COLUMN($D$41)))-1)*100,2)/100</f>
        <v>0.0595</v>
      </c>
    </row>
    <row r="82" ht="16.5" customHeight="1" s="61">
      <c r="A82" s="53" t="inlineStr">
        <is>
          <t>【要件確認】労働生産性の年平均成長率（基準年度比・要件4.0%以上）</t>
        </is>
      </c>
      <c r="E82" s="55">
        <f>ROUNDDOWN(((E80/$D$80)^(1/(COLUMN(E80)-COLUMN($D$80)))-1)*100,2)/100</f>
        <v>0.0453</v>
      </c>
      <c r="F82" s="78">
        <f>ROUNDDOWN(((F80/$D$80)^(1/(COLUMN(F80)-COLUMN($D$80)))-1)*100,2)/100</f>
        <v>0.041</v>
      </c>
      <c r="G82" s="78">
        <f>ROUNDDOWN(((G80/$D$80)^(1/(COLUMN(G80)-COLUMN($D$80)))-1)*100,2)/100</f>
        <v>0.0406</v>
      </c>
      <c r="H82" s="78">
        <f>ROUNDDOWN(((H80/$D$80)^(1/(COLUMN(H80)-COLUMN($D$80)))-1)*100,2)/100</f>
        <v>0.0407</v>
      </c>
      <c r="I82" s="78">
        <f>ROUNDDOWN(((I80/$D$80)^(1/(COLUMN(I80)-COLUMN($D$80)))-1)*100,2)/100</f>
        <v>0.0413</v>
      </c>
      <c r="J82" s="27" t="n"/>
    </row>
    <row r="83" ht="16.5" customHeight="1" s="61">
      <c r="A83" s="53" t="inlineStr">
        <is>
          <t>【要件確認】1人当たり給与の年平均成長率（足下・要件3.0%以上）</t>
        </is>
      </c>
      <c r="C83" s="55">
        <f>ROUNDDOWN(((C45/$B$45)^(1/(COLUMN(C45)-COLUMN($B$45)))-1)*100,2)/100</f>
        <v>0.0302</v>
      </c>
      <c r="D83" s="55">
        <f>ROUNDDOWN(((D45/$B$45)^(1/(COLUMN(D45)-COLUMN($B$45)))-1)*100,2)/100</f>
        <v>0.0302</v>
      </c>
      <c r="E83" s="55" t="n"/>
      <c r="F83" s="55" t="n"/>
      <c r="G83" s="55" t="n"/>
      <c r="H83" s="55" t="n"/>
      <c r="I83" s="55" t="n"/>
      <c r="J83" s="27" t="n"/>
    </row>
    <row r="84" ht="16.5" customHeight="1" s="61">
      <c r="A84" s="53" t="inlineStr">
        <is>
          <t>【要件確認】1人当たり給与支給総額の年平均成長率（基準年度比・要件3.5%以上）</t>
        </is>
      </c>
      <c r="C84" s="55" t="n"/>
      <c r="D84" s="55" t="n"/>
      <c r="E84" s="55">
        <f>ROUNDDOWN(((E45/$D$45)^(1/(COLUMN(E45)-COLUMN($D$45)))-1)*100,2)/100</f>
        <v>0.0352</v>
      </c>
      <c r="F84" s="55">
        <f>ROUNDDOWN(((F45/$D$45)^(1/(COLUMN(F45)-COLUMN($D$45)))-1)*100,2)/100</f>
        <v>0.0352</v>
      </c>
      <c r="G84" s="55">
        <f>ROUNDDOWN(((G45/$D$45)^(1/(COLUMN(G45)-COLUMN($D$45)))-1)*100,2)/100</f>
        <v>0.0352</v>
      </c>
      <c r="H84" s="55">
        <f>ROUNDDOWN(((H45/$D$45)^(1/(COLUMN(H45)-COLUMN($D$45)))-1)*100,2)/100</f>
        <v>0.0352</v>
      </c>
      <c r="I84" s="55">
        <f>ROUNDDOWN(((I45/$D$45)^(1/(COLUMN(I45)-COLUMN($D$45)))-1)*100,2)/100</f>
        <v>0.0352</v>
      </c>
    </row>
    <row r="85" ht="16.5" customHeight="1" s="61">
      <c r="A85" s="53" t="inlineStr">
        <is>
          <t>（参考）労働分配率（人件費÷付加価値額）</t>
        </is>
      </c>
      <c r="B85" s="79">
        <f>B33/B41</f>
        <v>0.669849080748608</v>
      </c>
      <c r="C85" s="79">
        <f>C33/C41</f>
        <v>0.667862817576816</v>
      </c>
      <c r="D85" s="79">
        <f>D33/D41</f>
        <v>0.677938726630722</v>
      </c>
      <c r="E85" s="79">
        <f>E33/E41</f>
        <v>0.669604209019627</v>
      </c>
      <c r="F85" s="79">
        <f>F33/F41</f>
        <v>0.66686480478228</v>
      </c>
      <c r="G85" s="79">
        <f>G33/G41</f>
        <v>0.662310477114199</v>
      </c>
      <c r="H85" s="79">
        <f>H33/H41</f>
        <v>0.657214888216016</v>
      </c>
      <c r="I85" s="79">
        <f>I33/I41</f>
        <v>0.650490683709623</v>
      </c>
    </row>
    <row r="86" ht="16.5" customHeight="1" s="61">
      <c r="A86" s="53" t="inlineStr">
        <is>
          <t>（参考）増加した付加価値額（各年度−基準年度）※3年目の値を別紙３に入力</t>
        </is>
      </c>
      <c r="E86" s="54">
        <f>E41-$D$41</f>
        <v>98852087</v>
      </c>
      <c r="F86" s="54">
        <f>F41-$D$41</f>
        <v>197842325</v>
      </c>
      <c r="G86" s="54">
        <f>G41-$D$41</f>
        <v>297960717</v>
      </c>
      <c r="H86" s="54">
        <f>H41-$D$41</f>
        <v>414983221</v>
      </c>
      <c r="I86" s="54">
        <f>I41-$D$41</f>
        <v>533930169</v>
      </c>
    </row>
  </sheetData>
  <mergeCells count="6">
    <mergeCell ref="A75:J78"/>
    <mergeCell ref="A65:J68"/>
    <mergeCell ref="A70:J73"/>
    <mergeCell ref="A50:J53"/>
    <mergeCell ref="A60:J63"/>
    <mergeCell ref="A55:J58"/>
  </mergeCells>
  <pageMargins left="0.7" right="0.7" top="0.75" bottom="0.75" header="0.3" footer="0.3"/>
  <pageSetup orientation="landscape" fitToHeight="0"/>
  <rowBreaks count="1" manualBreakCount="1">
    <brk id="4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zoomScale="85" zoomScaleNormal="85" workbookViewId="0">
      <selection activeCell="G15" sqref="G15"/>
    </sheetView>
  </sheetViews>
  <sheetFormatPr baseColWidth="8" defaultRowHeight="18.75"/>
  <cols>
    <col width="25.75" customWidth="1" style="61" min="2" max="2"/>
    <col width="14.75" customWidth="1" style="61" min="3" max="3"/>
    <col width="13" bestFit="1" customWidth="1" style="61" min="4" max="4"/>
    <col width="13" customWidth="1" style="61" min="5" max="6"/>
    <col width="9.5" bestFit="1" customWidth="1" style="61" min="7" max="7"/>
    <col width="46.625" customWidth="1" style="61" min="9" max="9"/>
    <col width="15.375" bestFit="1" customWidth="1" style="61" min="10" max="10"/>
    <col width="19.25" bestFit="1" customWidth="1" style="61" min="11" max="12"/>
  </cols>
  <sheetData>
    <row r="1">
      <c r="C1" s="63" t="inlineStr">
        <is>
          <t>2026年3月期</t>
        </is>
      </c>
    </row>
    <row r="2">
      <c r="C2" s="4" t="n"/>
      <c r="D2" s="4" t="n"/>
      <c r="E2" s="4" t="n"/>
      <c r="F2" s="4" t="n"/>
    </row>
    <row r="3">
      <c r="A3" s="62" t="inlineStr">
        <is>
          <t>原価内</t>
        </is>
      </c>
      <c r="B3" s="63" t="inlineStr">
        <is>
          <t>賃金（労務費内）</t>
        </is>
      </c>
      <c r="C3" s="4" t="n">
        <v>376769793</v>
      </c>
      <c r="D3" s="4" t="n"/>
      <c r="E3" s="4" t="n"/>
      <c r="F3" s="4" t="n"/>
      <c r="J3" s="63" t="inlineStr">
        <is>
          <t>2026年3月期</t>
        </is>
      </c>
    </row>
    <row r="4">
      <c r="B4" s="63" t="inlineStr">
        <is>
          <t>雑給</t>
        </is>
      </c>
      <c r="C4" s="4" t="n">
        <v>61352644</v>
      </c>
      <c r="D4" s="4" t="n"/>
      <c r="E4" s="4" t="n"/>
      <c r="F4" s="4" t="n"/>
      <c r="I4" s="1" t="inlineStr">
        <is>
          <t>①売上高</t>
        </is>
      </c>
      <c r="J4" s="4" t="n">
        <v>11168904537</v>
      </c>
    </row>
    <row r="5">
      <c r="B5" s="63" t="inlineStr">
        <is>
          <t>賞与</t>
        </is>
      </c>
      <c r="C5" s="4" t="n">
        <v>153907318</v>
      </c>
      <c r="D5" s="4" t="n"/>
      <c r="E5" s="4" t="n"/>
      <c r="F5" s="4" t="n"/>
      <c r="I5" s="1" t="n"/>
      <c r="J5" s="4" t="n"/>
    </row>
    <row r="6">
      <c r="B6" s="63" t="inlineStr">
        <is>
          <t>研究開発労務費</t>
        </is>
      </c>
      <c r="C6" s="4" t="n">
        <v>28319705</v>
      </c>
      <c r="D6" s="4" t="n"/>
      <c r="E6" s="4" t="n"/>
      <c r="F6" s="4" t="n"/>
      <c r="I6" s="1" t="inlineStr">
        <is>
          <t xml:space="preserve">　　売上原価</t>
        </is>
      </c>
      <c r="J6" s="4" t="n">
        <v>10117780260</v>
      </c>
      <c r="K6" s="5">
        <f>J6/J4</f>
        <v>0.905888328303114</v>
      </c>
    </row>
    <row r="7">
      <c r="B7" s="63" t="inlineStr">
        <is>
          <t>法定福利費</t>
        </is>
      </c>
      <c r="C7" s="4" t="n">
        <v>91831558</v>
      </c>
      <c r="D7" s="4" t="n"/>
      <c r="E7" s="4" t="n"/>
      <c r="F7" s="4" t="n"/>
      <c r="I7" s="63" t="inlineStr">
        <is>
          <t xml:space="preserve">　　内減価償却費</t>
        </is>
      </c>
      <c r="J7" s="4">
        <f>J11</f>
        <v>274032833</v>
      </c>
    </row>
    <row r="8">
      <c r="B8" s="63" t="inlineStr">
        <is>
          <t>厚生費</t>
        </is>
      </c>
      <c r="C8" s="4" t="n">
        <v>21070705</v>
      </c>
      <c r="D8" s="4" t="n"/>
      <c r="E8" s="4" t="n"/>
      <c r="F8" s="4" t="n"/>
      <c r="I8" s="63" t="inlineStr">
        <is>
          <t>減価償却費を除いた売上原価</t>
        </is>
      </c>
      <c r="J8" s="6">
        <f>J6-J7</f>
        <v>9843747427</v>
      </c>
      <c r="K8" s="5">
        <f>J8/$J$4</f>
        <v>0.881352991637626</v>
      </c>
    </row>
    <row r="9">
      <c r="C9" s="4" t="n"/>
      <c r="D9" s="4" t="n"/>
      <c r="E9" s="4" t="n"/>
      <c r="F9" s="4" t="n"/>
      <c r="I9" s="63" t="inlineStr">
        <is>
          <t>売上原価内人件費と売上原価内減価償却を除いた売上原価</t>
        </is>
      </c>
      <c r="J9" s="6">
        <f>J6-J11-C10</f>
        <v>9110495704</v>
      </c>
      <c r="K9" s="5">
        <f>J9/$J$4</f>
        <v>0.815701815143914</v>
      </c>
    </row>
    <row r="10">
      <c r="B10" s="7" t="inlineStr">
        <is>
          <t>売上原価内人件費</t>
        </is>
      </c>
      <c r="C10" s="4">
        <f>C3+C4+C5+C6+C7+C8</f>
        <v>733251723</v>
      </c>
      <c r="D10" s="4" t="n"/>
      <c r="E10" s="4" t="n"/>
      <c r="F10" s="4" t="n"/>
      <c r="K10" s="4" t="n"/>
      <c r="L10" s="4" t="n"/>
    </row>
    <row r="11">
      <c r="B11" s="7" t="inlineStr">
        <is>
          <t>└うち役員給与支給総額</t>
        </is>
      </c>
      <c r="C11" s="4">
        <f>C12+C13</f>
        <v>0</v>
      </c>
      <c r="D11" s="4" t="n"/>
      <c r="E11" s="4" t="n"/>
      <c r="F11" s="4" t="n"/>
      <c r="I11" s="63" t="inlineStr">
        <is>
          <t>売上原価内減価償却費</t>
        </is>
      </c>
      <c r="J11" s="4" t="n">
        <v>274032833</v>
      </c>
      <c r="K11" s="4" t="n"/>
      <c r="L11" s="4" t="n"/>
    </row>
    <row r="12">
      <c r="B12" s="7" t="inlineStr">
        <is>
          <t xml:space="preserve">　　└うち賞与</t>
        </is>
      </c>
      <c r="C12" s="4" t="n">
        <v>0</v>
      </c>
      <c r="D12" s="4" t="n"/>
      <c r="E12" s="4" t="n"/>
      <c r="F12" s="4" t="n"/>
      <c r="I12" s="63" t="inlineStr">
        <is>
          <t>販管費内減価償却費</t>
        </is>
      </c>
      <c r="J12" s="4" t="n">
        <v>24831635</v>
      </c>
    </row>
    <row r="13">
      <c r="B13" s="7" t="inlineStr">
        <is>
          <t xml:space="preserve">　　└うち給料・賃金</t>
        </is>
      </c>
      <c r="C13" s="4" t="n">
        <v>0</v>
      </c>
      <c r="D13" s="4" t="n"/>
      <c r="E13" s="4" t="n"/>
      <c r="F13" s="4" t="n"/>
      <c r="I13" s="63" t="inlineStr">
        <is>
          <t>減価償却費計</t>
        </is>
      </c>
      <c r="J13" s="6">
        <f>J11+J12</f>
        <v>298864468</v>
      </c>
    </row>
    <row r="14">
      <c r="B14" s="7" t="inlineStr">
        <is>
          <t>└うち従業員給与支給総額</t>
        </is>
      </c>
      <c r="C14" s="4">
        <f>C15+C16</f>
        <v>620349460</v>
      </c>
      <c r="D14" s="4" t="n"/>
      <c r="E14" s="4" t="n"/>
      <c r="F14" s="4" t="n"/>
    </row>
    <row r="15">
      <c r="B15" s="7" t="inlineStr">
        <is>
          <t xml:space="preserve">　　└うち賞与</t>
        </is>
      </c>
      <c r="C15" s="4">
        <f>C5</f>
        <v>153907318</v>
      </c>
      <c r="D15" s="4" t="n"/>
      <c r="E15" s="4" t="n"/>
      <c r="F15" s="4" t="n"/>
    </row>
    <row r="16">
      <c r="B16" s="7" t="inlineStr">
        <is>
          <t xml:space="preserve">　　└うち給料・賃金</t>
        </is>
      </c>
      <c r="C16" s="4">
        <f>C3+C4+C6</f>
        <v>466442142</v>
      </c>
      <c r="D16" s="4" t="n"/>
      <c r="E16" s="4" t="n"/>
      <c r="F16" s="4" t="n"/>
    </row>
    <row r="17">
      <c r="C17" s="4" t="n"/>
      <c r="D17" s="4" t="n"/>
      <c r="E17" s="4" t="n"/>
      <c r="F17" s="4" t="n"/>
    </row>
    <row r="18">
      <c r="C18" s="63" t="inlineStr">
        <is>
          <t>人件費</t>
        </is>
      </c>
      <c r="D18" s="63" t="inlineStr">
        <is>
          <t>給与支給総額</t>
        </is>
      </c>
    </row>
    <row r="19">
      <c r="A19" s="62" t="inlineStr">
        <is>
          <t>販管費</t>
        </is>
      </c>
      <c r="B19" s="3" t="inlineStr">
        <is>
          <t>給与手当</t>
        </is>
      </c>
      <c r="C19" s="4" t="n">
        <v>120356805</v>
      </c>
      <c r="D19" s="4" t="n">
        <v>120356805</v>
      </c>
      <c r="E19" s="4" t="n"/>
      <c r="F19" s="4" t="n"/>
    </row>
    <row r="20">
      <c r="B20" s="3" t="inlineStr">
        <is>
          <t>雑給</t>
        </is>
      </c>
      <c r="C20" s="4" t="n">
        <v>2987000</v>
      </c>
      <c r="D20" s="4" t="n">
        <v>2987000</v>
      </c>
      <c r="E20" s="4" t="n"/>
      <c r="F20" s="4" t="n"/>
    </row>
    <row r="21">
      <c r="B21" s="38" t="inlineStr">
        <is>
          <t>役員報酬</t>
        </is>
      </c>
      <c r="C21" s="4" t="n">
        <v>65655000</v>
      </c>
      <c r="D21" s="4" t="n">
        <v>65655000</v>
      </c>
      <c r="E21" s="4" t="n"/>
      <c r="F21" s="4" t="n"/>
      <c r="G21" s="4" t="n"/>
    </row>
    <row r="22">
      <c r="B22" s="38" t="inlineStr">
        <is>
          <t>役員賞与</t>
        </is>
      </c>
      <c r="C22" s="4" t="n">
        <v>0</v>
      </c>
      <c r="D22" s="4" t="n">
        <v>0</v>
      </c>
      <c r="E22" s="4" t="n"/>
      <c r="F22" s="4" t="n"/>
    </row>
    <row r="23">
      <c r="B23" s="3" t="inlineStr">
        <is>
          <t>従業員賞与</t>
        </is>
      </c>
      <c r="C23" s="4" t="n">
        <v>50163729</v>
      </c>
      <c r="D23" s="4" t="n">
        <v>50163729</v>
      </c>
      <c r="E23" s="4" t="n"/>
      <c r="F23" s="4" t="n"/>
    </row>
    <row r="24">
      <c r="B24" s="63" t="inlineStr">
        <is>
          <t>法定福利費</t>
        </is>
      </c>
      <c r="C24" s="4" t="n">
        <v>35845218</v>
      </c>
      <c r="D24" s="4" t="n"/>
      <c r="E24" s="4" t="n"/>
      <c r="F24" s="4" t="n"/>
    </row>
    <row r="25">
      <c r="B25" s="63" t="inlineStr">
        <is>
          <t>厚生費</t>
        </is>
      </c>
      <c r="C25" s="4" t="n">
        <v>11607582</v>
      </c>
      <c r="D25" s="4" t="n"/>
      <c r="E25" s="4" t="n"/>
      <c r="F25" s="4" t="n"/>
    </row>
    <row r="26">
      <c r="B26" s="63" t="inlineStr">
        <is>
          <t>退職金</t>
        </is>
      </c>
      <c r="C26" s="4" t="n">
        <v>2073520</v>
      </c>
      <c r="D26" s="4" t="n"/>
      <c r="E26" s="4" t="n"/>
      <c r="F26" s="4" t="n"/>
    </row>
    <row r="27">
      <c r="A27" s="62" t="n"/>
      <c r="C27" s="4" t="n"/>
      <c r="D27" s="4" t="n"/>
      <c r="E27" s="4" t="n"/>
      <c r="F27" s="4" t="n"/>
    </row>
    <row r="28">
      <c r="A28" s="62" t="n"/>
      <c r="B28" s="7" t="inlineStr">
        <is>
          <t>販管費内人件費</t>
        </is>
      </c>
      <c r="C28" s="4">
        <f>C19+C20+C21+C22+C23+C24+C25+C26</f>
        <v>288688854</v>
      </c>
      <c r="D28" s="4" t="n"/>
      <c r="E28" s="4" t="n"/>
      <c r="F28" s="4" t="n"/>
    </row>
    <row r="29">
      <c r="B29" s="7" t="inlineStr">
        <is>
          <t>└うち役員給与支給総額</t>
        </is>
      </c>
      <c r="C29" s="4">
        <f>C30+C31</f>
        <v>65655000</v>
      </c>
      <c r="D29" s="4">
        <f>D30+D31</f>
        <v>65655000</v>
      </c>
      <c r="E29" s="4" t="n"/>
      <c r="F29" s="4" t="n"/>
    </row>
    <row r="30">
      <c r="B30" s="7" t="inlineStr">
        <is>
          <t xml:space="preserve">　　└うち賞与</t>
        </is>
      </c>
      <c r="C30" s="4">
        <f>C22</f>
        <v>0</v>
      </c>
      <c r="D30" s="4">
        <f>D22</f>
        <v>0</v>
      </c>
      <c r="E30" s="4" t="n"/>
      <c r="F30" s="4" t="n"/>
    </row>
    <row r="31">
      <c r="B31" s="7" t="inlineStr">
        <is>
          <t xml:space="preserve">　　└うち給料・賃金</t>
        </is>
      </c>
      <c r="C31" s="4">
        <f>C21</f>
        <v>65655000</v>
      </c>
      <c r="D31" s="4">
        <f>D21</f>
        <v>65655000</v>
      </c>
      <c r="E31" s="4" t="n"/>
      <c r="F31" s="4" t="n"/>
    </row>
    <row r="32">
      <c r="A32" s="62" t="n"/>
      <c r="B32" s="7" t="inlineStr">
        <is>
          <t>└うち従業員給与支給総額</t>
        </is>
      </c>
      <c r="C32" s="4">
        <f>C33+C34</f>
        <v>173507534</v>
      </c>
      <c r="D32" s="4">
        <f>D33+D34</f>
        <v>173507534</v>
      </c>
      <c r="E32" s="4" t="n"/>
      <c r="F32" s="4" t="n"/>
    </row>
    <row r="33">
      <c r="B33" s="7" t="inlineStr">
        <is>
          <t xml:space="preserve">　　└うち賞与</t>
        </is>
      </c>
      <c r="C33" s="4">
        <f>C23</f>
        <v>50163729</v>
      </c>
      <c r="D33" s="4">
        <f>D23</f>
        <v>50163729</v>
      </c>
      <c r="E33" s="4" t="n"/>
      <c r="F33" s="4" t="n"/>
    </row>
    <row r="34">
      <c r="B34" s="7" t="inlineStr">
        <is>
          <t xml:space="preserve">　　└うち給料・賃金</t>
        </is>
      </c>
      <c r="C34" s="4">
        <f>C19+C20</f>
        <v>123343805</v>
      </c>
      <c r="D34" s="4">
        <f>D19+D20</f>
        <v>123343805</v>
      </c>
      <c r="E34" s="4" t="n"/>
      <c r="F34" s="4" t="n"/>
    </row>
    <row r="35">
      <c r="C35" s="4" t="n"/>
      <c r="D35" s="4" t="n"/>
      <c r="E35" s="4" t="n"/>
      <c r="F35" s="4" t="n"/>
    </row>
    <row r="36">
      <c r="B36" s="7" t="inlineStr">
        <is>
          <t>売上原価＋販管費人件費合計</t>
        </is>
      </c>
      <c r="C36" s="4">
        <f>C28+C10</f>
        <v>1021940577</v>
      </c>
      <c r="D36" s="4" t="n"/>
      <c r="E36" s="4" t="n"/>
      <c r="F36" s="4" t="n"/>
    </row>
    <row r="37">
      <c r="B37" s="7" t="inlineStr">
        <is>
          <t>└うち役員給与支給総額</t>
        </is>
      </c>
      <c r="C37" s="4">
        <f>C29+C11</f>
        <v>65655000</v>
      </c>
      <c r="D37" s="4">
        <f>D29+D11</f>
        <v>65655000</v>
      </c>
      <c r="E37" s="4" t="n"/>
      <c r="F37" s="4" t="n"/>
    </row>
    <row r="38">
      <c r="B38" s="7" t="inlineStr">
        <is>
          <t xml:space="preserve">　　└うち賞与</t>
        </is>
      </c>
      <c r="C38" s="4">
        <f>C30+C12</f>
        <v>0</v>
      </c>
      <c r="D38" s="4">
        <f>D30+D12</f>
        <v>0</v>
      </c>
      <c r="E38" s="4" t="n"/>
      <c r="F38" s="4" t="n"/>
    </row>
    <row r="39">
      <c r="B39" s="7" t="inlineStr">
        <is>
          <t xml:space="preserve">　　└うち給料・賃金</t>
        </is>
      </c>
      <c r="C39" s="4">
        <f>C31+C13</f>
        <v>65655000</v>
      </c>
      <c r="D39" s="4">
        <f>D31+D13</f>
        <v>65655000</v>
      </c>
      <c r="E39" s="4" t="n"/>
      <c r="F39" s="4" t="n"/>
      <c r="I39" s="4" t="n"/>
    </row>
    <row r="40">
      <c r="B40" s="7" t="inlineStr">
        <is>
          <t>└うち従業員給与支給総額</t>
        </is>
      </c>
      <c r="C40" s="4">
        <f>C32+C14</f>
        <v>793856994</v>
      </c>
      <c r="D40" s="4">
        <f>D32+D14</f>
        <v>173507534</v>
      </c>
      <c r="E40" s="4" t="n"/>
      <c r="F40" s="4" t="n"/>
    </row>
    <row r="41">
      <c r="B41" s="7" t="inlineStr">
        <is>
          <t xml:space="preserve">　　└うち賞与</t>
        </is>
      </c>
      <c r="C41" s="4">
        <f>C33+C15</f>
        <v>204071047</v>
      </c>
      <c r="D41" s="4">
        <f>D33+D15</f>
        <v>50163729</v>
      </c>
      <c r="E41" s="4" t="n"/>
      <c r="F41" s="4" t="n"/>
    </row>
    <row r="42">
      <c r="B42" s="7" t="inlineStr">
        <is>
          <t xml:space="preserve">　　└うち給料・賃金</t>
        </is>
      </c>
      <c r="C42" s="4">
        <f>C34+C16</f>
        <v>589785947</v>
      </c>
      <c r="D42" s="4">
        <f>D34+D16</f>
        <v>123343805</v>
      </c>
      <c r="E42" s="4" t="n"/>
      <c r="F42" s="4" t="n"/>
    </row>
  </sheetData>
  <mergeCells count="2">
    <mergeCell ref="A3:A8"/>
    <mergeCell ref="A19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本木</dc:creator>
  <dcterms:created xmlns:dcterms="http://purl.org/dc/terms/" xmlns:xsi="http://www.w3.org/2001/XMLSchema-instance" xsi:type="dcterms:W3CDTF">2025-11-12T08:36:47Z</dcterms:created>
  <dcterms:modified xmlns:dcterms="http://purl.org/dc/terms/" xmlns:xsi="http://www.w3.org/2001/XMLSchema-instance" xsi:type="dcterms:W3CDTF">2026-10-01T02:07:30Z</dcterms:modified>
  <cp:lastModifiedBy>本木</cp:lastModifiedBy>
</cp:coreProperties>
</file>