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総括" sheetId="1" state="visible" r:id="rId1"/>
    <sheet xmlns:r="http://schemas.openxmlformats.org/officeDocument/2006/relationships" name="新規指摘一覧" sheetId="2" state="visible" r:id="rId2"/>
    <sheet xmlns:r="http://schemas.openxmlformats.org/officeDocument/2006/relationships" name="前回指摘の反映状況" sheetId="3" state="visible" r:id="rId3"/>
    <sheet xmlns:r="http://schemas.openxmlformats.org/officeDocument/2006/relationships" name="数値照合" sheetId="4" state="visible" r:id="rId4"/>
  </sheets>
  <definedNames>
    <definedName name="_xlnm._FilterDatabase" localSheetId="1" hidden="1">'新規指摘一覧'!$A$4:$M$12</definedName>
    <definedName name="_xlnm.Print_Titles" localSheetId="1">'新規指摘一覧'!$4:$4</definedName>
    <definedName name="_xlnm._FilterDatabase" localSheetId="2" hidden="1">'前回指摘の反映状況'!$A$4:$G$65</definedName>
    <definedName name="_xlnm.Print_Titles" localSheetId="2">'前回指摘の反映状況'!$4:$4</definedName>
    <definedName name="_xlnm.Print_Titles" localSheetId="3">'数値照合'!$4:$4</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Meiryo UI"/>
      <b val="1"/>
      <color rgb="001F4E5F"/>
      <sz val="14"/>
    </font>
    <font>
      <name val="Meiryo UI"/>
      <color rgb="00555555"/>
      <sz val="8"/>
    </font>
    <font>
      <name val="Meiryo UI"/>
      <b val="1"/>
      <color rgb="001F4E5F"/>
      <sz val="10"/>
    </font>
    <font>
      <name val="Meiryo UI"/>
      <b val="1"/>
      <sz val="9"/>
    </font>
    <font>
      <name val="Meiryo UI"/>
      <sz val="9"/>
    </font>
    <font>
      <name val="Meiryo UI"/>
      <b val="1"/>
      <color rgb="00FFFFFF"/>
      <sz val="9"/>
    </font>
    <font>
      <name val="Meiryo UI"/>
      <color rgb="000000FF"/>
      <sz val="9"/>
    </font>
  </fonts>
  <fills count="9">
    <fill>
      <patternFill/>
    </fill>
    <fill>
      <patternFill patternType="gray125"/>
    </fill>
    <fill>
      <patternFill patternType="solid">
        <fgColor rgb="00DCE9EE"/>
      </patternFill>
    </fill>
    <fill>
      <patternFill patternType="solid">
        <fgColor rgb="001F4E5F"/>
      </patternFill>
    </fill>
    <fill>
      <patternFill patternType="solid">
        <fgColor rgb="00FFF3CD"/>
      </patternFill>
    </fill>
    <fill>
      <patternFill patternType="solid">
        <fgColor rgb="00EDEDED"/>
      </patternFill>
    </fill>
    <fill>
      <patternFill patternType="solid">
        <fgColor rgb="00D6EAF8"/>
      </patternFill>
    </fill>
    <fill>
      <patternFill patternType="solid">
        <fgColor rgb="00F8D7DA"/>
      </patternFill>
    </fill>
    <fill>
      <patternFill patternType="solid">
        <fgColor rgb="00D4EDDA"/>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horizontal="center" vertical="top" wrapText="1"/>
    </xf>
    <xf numFmtId="0" fontId="5" fillId="0" borderId="1" applyAlignment="1" pivotButton="0" quotePrefix="0" xfId="0">
      <alignment horizontal="center" vertical="top" wrapText="1"/>
    </xf>
    <xf numFmtId="0" fontId="4" fillId="4" borderId="1" applyAlignment="1" pivotButton="0" quotePrefix="0" xfId="0">
      <alignment horizontal="center" vertical="top" wrapText="1"/>
    </xf>
    <xf numFmtId="0" fontId="7" fillId="0" borderId="1" applyAlignment="1" pivotButton="0" quotePrefix="0" xfId="0">
      <alignment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5" fillId="7" borderId="1" applyAlignment="1" pivotButton="0" quotePrefix="0" xfId="0">
      <alignment horizontal="center" vertical="top" wrapText="1"/>
    </xf>
    <xf numFmtId="0" fontId="4" fillId="8"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3" fontId="7" fillId="0" borderId="1" applyAlignment="1" pivotButton="0" quotePrefix="0" xfId="0">
      <alignment horizontal="right" vertical="top"/>
    </xf>
    <xf numFmtId="3" fontId="5" fillId="0" borderId="1" applyAlignment="1" pivotButton="0" quotePrefix="0" xfId="0">
      <alignment horizontal="right" vertical="top"/>
    </xf>
    <xf numFmtId="2" fontId="7" fillId="0" borderId="1" applyAlignment="1" pivotButton="0" quotePrefix="0" xfId="0">
      <alignment horizontal="right" vertical="top"/>
    </xf>
    <xf numFmtId="2" fontId="5" fillId="0" borderId="1" applyAlignment="1" pivotButton="0" quotePrefix="0" xfId="0">
      <alignment horizontal="right" vertical="top"/>
    </xf>
    <xf numFmtId="1" fontId="7" fillId="0" borderId="1" applyAlignment="1" pivotButton="0" quotePrefix="0" xfId="0">
      <alignment horizontal="right" vertical="top"/>
    </xf>
    <xf numFmtId="1" fontId="5" fillId="0" borderId="1" applyAlignment="1" pivotButton="0" quotePrefix="0" xfId="0">
      <alignment horizontal="right" vertical="top"/>
    </xf>
    <xf numFmtId="164" fontId="7" fillId="0" borderId="1" applyAlignment="1" pivotButton="0" quotePrefix="0" xfId="0">
      <alignment horizontal="right" vertical="top"/>
    </xf>
    <xf numFmtId="164" fontId="5" fillId="0" borderId="1" applyAlignment="1" pivotButton="0" quotePrefix="0" xfId="0">
      <alignment horizontal="right" vertical="top"/>
    </xf>
    <xf numFmtId="10" fontId="7" fillId="0" borderId="1" applyAlignment="1" pivotButton="0" quotePrefix="0" xfId="0">
      <alignment horizontal="right" vertical="top"/>
    </xf>
    <xf numFmtId="10" fontId="5" fillId="0" borderId="1" applyAlignment="1" pivotButton="0" quotePrefix="0" xfId="0">
      <alignment horizontal="right" vertical="top"/>
    </xf>
    <xf numFmtId="9" fontId="7" fillId="0" borderId="1" applyAlignment="1" pivotButton="0" quotePrefix="0" xfId="0">
      <alignment horizontal="right" vertical="top"/>
    </xf>
    <xf numFmtId="9" fontId="5" fillId="0" borderId="1" applyAlignment="1" pivotButton="0" quotePrefix="0" xfId="0">
      <alignment horizontal="right" vertical="top"/>
    </xf>
    <xf numFmtId="165" fontId="7" fillId="0" borderId="1" applyAlignment="1" pivotButton="0" quotePrefix="0" xfId="0">
      <alignment horizontal="right" vertical="top"/>
    </xf>
    <xf numFmtId="165" fontId="5" fillId="0" borderId="1" applyAlignment="1" pivotButton="0" quotePrefix="0" xfId="0">
      <alignment horizontal="right" vertical="top"/>
    </xf>
  </cellXfs>
  <cellStyles count="1">
    <cellStyle name="Normal" xfId="0" builtinId="0" hidden="0"/>
  </cellStyles>
  <dxfs count="2">
    <dxf>
      <fill>
        <patternFill patternType="solid">
          <fgColor rgb="00F8D7DA"/>
        </patternFill>
      </fill>
    </dxf>
    <dxf>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C19"/>
  <sheetViews>
    <sheetView workbookViewId="0">
      <selection activeCell="A1" sqref="A1"/>
    </sheetView>
  </sheetViews>
  <sheetFormatPr baseColWidth="8" defaultRowHeight="15"/>
  <cols>
    <col width="2" customWidth="1" min="1" max="1"/>
    <col width="22" customWidth="1" min="2" max="2"/>
    <col width="110" customWidth="1" min="3" max="3"/>
  </cols>
  <sheetData>
    <row r="1">
      <c r="B1" s="1" t="inlineStr">
        <is>
          <t>事業計画書 再チェック結果（修正版）</t>
        </is>
      </c>
    </row>
    <row r="2">
      <c r="B2" s="2" t="inlineStr">
        <is>
          <t>株式会社トンボ飲料 様　中小企業省力化投資補助金（一般型）第8回　｜　作成日：2026年10月1日</t>
        </is>
      </c>
    </row>
    <row r="4">
      <c r="B4" s="3" t="inlineStr">
        <is>
          <t>1. チェック対象</t>
        </is>
      </c>
    </row>
    <row r="5" ht="15.5" customHeight="1">
      <c r="B5" s="4" t="inlineStr">
        <is>
          <t>その１その２</t>
        </is>
      </c>
      <c r="C5" s="5" t="inlineStr">
        <is>
          <t>新20261001【更新版】作成中【参考様式】事業計画書（その１その２）第8回フォーマット.docx</t>
        </is>
      </c>
    </row>
    <row r="6" ht="15.5" customHeight="1">
      <c r="B6" s="4" t="inlineStr">
        <is>
          <t>その３</t>
        </is>
      </c>
      <c r="C6" s="5" t="inlineStr">
        <is>
          <t>新20261001【更新版】作成中【指定様式】事業計画書（その３）第8回フォーマット.xlsx</t>
        </is>
      </c>
    </row>
    <row r="7" ht="15.5" customHeight="1">
      <c r="B7" s="4" t="inlineStr">
        <is>
          <t>スケジュール</t>
        </is>
      </c>
      <c r="C7" s="5" t="inlineStr">
        <is>
          <t>新20261001【更新版】★20260930スケジュール（トンボ飲料様）.xlsx</t>
        </is>
      </c>
    </row>
    <row r="8" ht="15.5" customHeight="1">
      <c r="B8" s="4" t="inlineStr">
        <is>
          <t>参照</t>
        </is>
      </c>
      <c r="C8" s="5" t="inlineStr">
        <is>
          <t>記入済み20261001_事業計画書チェック結果（前回の指摘と対応方針）、【更新版】省力化投資補助金_審査項目分析表</t>
        </is>
      </c>
    </row>
    <row r="9">
      <c r="B9" s="3" t="inlineStr">
        <is>
          <t>2. 結果の要点</t>
        </is>
      </c>
    </row>
    <row r="10" ht="28" customHeight="1">
      <c r="B10" s="4" t="inlineStr">
        <is>
          <t>前回指摘の反映</t>
        </is>
      </c>
      <c r="C10" s="5" t="inlineStr">
        <is>
          <t>前回の61件のうち、反映済 18件、他の修正で解消 3件、一部未反映 1件（No.13：その３の別紙２）、保留（調整中）3件（No.2・16・17）、方針どおり対応不要 36件。修正方針に沿った反映はおおむね完了している。</t>
        </is>
      </c>
    </row>
    <row r="11" ht="28" customHeight="1">
      <c r="B11" s="4" t="inlineStr">
        <is>
          <t>新規の指摘</t>
        </is>
      </c>
      <c r="C11" s="5" t="inlineStr">
        <is>
          <t>8件（A 0件／B 3件／C 3件／確認 2件）。いずれも前回の修正に伴って生じた整合のずれ・補足不足で、要件を満たさなくなるような重大なものはない。</t>
        </is>
      </c>
    </row>
    <row r="12" ht="40.5" customHeight="1">
      <c r="B12" s="4" t="inlineStr">
        <is>
          <t>優先して直す点</t>
        </is>
      </c>
      <c r="C12" s="5" t="inlineStr">
        <is>
          <t>①1年目の原価率改善の内訳とODM拡大の時期（新規No.1）
②賃上げ計画の表明主体：計画書は社長、スケジュールは統括責任者（新規No.2、スケジュール画像の貼り直しを含む）
③土曜稼働・供給待ち停止の前提の補足（新規No.3）と、仮置き数値のクライアント確認（新規No.7）</t>
        </is>
      </c>
    </row>
    <row r="13" ht="28" customHeight="1">
      <c r="B13" s="4" t="inlineStr">
        <is>
          <t>数値の照合</t>
        </is>
      </c>
      <c r="C13" s="5" t="inlineStr">
        <is>
          <t>主要な数値62項目を数式で再計算した（「数値照合」シート）。不一致は1件（新規No.1の「1年目の原価率改善0.25pt」）。それ以外は計画書・その３・図の値と一致した。</t>
        </is>
      </c>
    </row>
    <row r="14" ht="28" customHeight="1">
      <c r="B14" s="4" t="inlineStr">
        <is>
          <t>ページ数</t>
        </is>
      </c>
      <c r="C14" s="5" t="inlineStr">
        <is>
          <t>その１その２：LibreOfficeでの変換で26ページ（前回の修正前と同じ）。その３：20ページ（同）。Wordでの最終確認をお願いします。</t>
        </is>
      </c>
    </row>
    <row r="15" ht="15.5" customHeight="1">
      <c r="B15" s="4" t="inlineStr">
        <is>
          <t>提出前の注意</t>
        </is>
      </c>
      <c r="C15" s="5" t="inlineStr">
        <is>
          <t>修正版Wordにコメント2件（台車・SPM改造）が残っている。No.2・16の調整後に削除する（新規No.8）。</t>
        </is>
      </c>
    </row>
    <row r="16">
      <c r="B16" s="3" t="inlineStr">
        <is>
          <t>3. シートの構成</t>
        </is>
      </c>
    </row>
    <row r="17" ht="15.5" customHeight="1">
      <c r="B17" s="4" t="inlineStr">
        <is>
          <t>新規指摘一覧</t>
        </is>
      </c>
      <c r="C17" s="5" t="inlineStr">
        <is>
          <t>今回の再チェックで見つかった指摘（重要度順）。対応方針の欄（M列）に記入できます。</t>
        </is>
      </c>
    </row>
    <row r="18" ht="15.5" customHeight="1">
      <c r="B18" s="4" t="inlineStr">
        <is>
          <t>前回指摘の反映状況</t>
        </is>
      </c>
      <c r="C18" s="5" t="inlineStr">
        <is>
          <t>前回の61件について、M列の対応方針どおりに反映されているかの確認結果。</t>
        </is>
      </c>
    </row>
    <row r="19" ht="15.5" customHeight="1">
      <c r="B19" s="4" t="inlineStr">
        <is>
          <t>数値照合</t>
        </is>
      </c>
      <c r="C19" s="5" t="inlineStr">
        <is>
          <t>主要な数値の再計算（数式入り）。判定列は自動計算。</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M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7" customWidth="1" min="3" max="3"/>
    <col width="14" customWidth="1" min="4" max="4"/>
    <col width="14" customWidth="1" min="5" max="5"/>
    <col width="30" customWidth="1" min="6" max="6"/>
    <col width="38" customWidth="1" min="7" max="7"/>
    <col width="62" customWidth="1" min="8" max="8"/>
    <col width="56" customWidth="1" min="9" max="9"/>
    <col width="12" customWidth="1" min="10" max="10"/>
    <col width="20" customWidth="1" min="11" max="11"/>
    <col width="10" customWidth="1" min="12" max="12"/>
    <col width="24" customWidth="1" min="13" max="13"/>
  </cols>
  <sheetData>
    <row r="1">
      <c r="A1" s="3" t="inlineStr">
        <is>
          <t>新規指摘一覧（今回の再チェックで見つかったもの。重要度順：A→B→C→確認）</t>
        </is>
      </c>
    </row>
    <row r="2">
      <c r="A2" s="2" t="inlineStr">
        <is>
          <t>観点：①ファイル内の矛盾・ロジック・説得力・誤字脱字／②ファイル間・本文と図の整合／③審査項目への対応。対応状況はプルダウンで選択できます。</t>
        </is>
      </c>
    </row>
    <row r="4" ht="30" customHeight="1">
      <c r="A4" s="6" t="inlineStr">
        <is>
          <t>No</t>
        </is>
      </c>
      <c r="B4" s="6" t="inlineStr">
        <is>
          <t>重要度</t>
        </is>
      </c>
      <c r="C4" s="6" t="inlineStr">
        <is>
          <t>観点</t>
        </is>
      </c>
      <c r="D4" s="6" t="inlineStr">
        <is>
          <t>分類</t>
        </is>
      </c>
      <c r="E4" s="6" t="inlineStr">
        <is>
          <t>対象ファイル</t>
        </is>
      </c>
      <c r="F4" s="6" t="inlineStr">
        <is>
          <t>該当箇所</t>
        </is>
      </c>
      <c r="G4" s="6" t="inlineStr">
        <is>
          <t>現状の記載（抜粋）</t>
        </is>
      </c>
      <c r="H4" s="6" t="inlineStr">
        <is>
          <t>指摘内容（問題点・根拠）</t>
        </is>
      </c>
      <c r="I4" s="6" t="inlineStr">
        <is>
          <t>修正案</t>
        </is>
      </c>
      <c r="J4" s="6" t="inlineStr">
        <is>
          <t>関連審査項目</t>
        </is>
      </c>
      <c r="K4" s="6" t="inlineStr">
        <is>
          <t>根拠資料・確認元</t>
        </is>
      </c>
      <c r="L4" s="6" t="inlineStr">
        <is>
          <t>対応状況</t>
        </is>
      </c>
      <c r="M4" s="6" t="inlineStr">
        <is>
          <t>対応方針</t>
        </is>
      </c>
    </row>
    <row r="5" ht="128" customHeight="1">
      <c r="A5" s="7" t="n">
        <v>1</v>
      </c>
      <c r="B5" s="8" t="inlineStr">
        <is>
          <t>B</t>
        </is>
      </c>
      <c r="C5" s="7" t="inlineStr">
        <is>
          <t>①②</t>
        </is>
      </c>
      <c r="D5" s="5" t="inlineStr">
        <is>
          <t>論理・整合（原価率の根拠）</t>
        </is>
      </c>
      <c r="E5" s="5" t="inlineStr">
        <is>
          <t>その１その２／その３</t>
        </is>
      </c>
      <c r="F5" s="5" t="inlineStr">
        <is>
          <t>4章【2】改善の内訳、4章②各年度サマリ（1年目）、3章①〔3段階の再配置〕段階3
その３：【算定根拠】①(2)</t>
        </is>
      </c>
      <c r="G5" s="5" t="inlineStr">
        <is>
          <t>「ODM売上比率を約10%→3年目約14.5%（年+1.5pt）に高め…で年+0.30pt、価格転嫁で+0.05pt、労務費の抑制で1年目+0.07pt」
「1年目：…労務費の抑制と価格転嫁で原価率を0.25pt改善し」
「段階3（2〜3年目）：日勤に戻った社員が、品質管理・提案型ODM・技術継承を担う」</t>
        </is>
      </c>
      <c r="H5" s="5" t="inlineStr">
        <is>
          <t>前回No.18の修正で、原価率改善の主因を「ODM比率の上昇（1年目から年+1.5pt）」としたが、①ODMを担う社員が日勤に戻るのは段階3（2〜3年目）で、1年目からODM比率が上がる理由が本文にない。②1年目サマリは「労務費の抑制と価格転嫁で0.25pt改善」としているが、内訳ではこの2つの合計は+0.12pt（0.07＋0.05）で、0.25ptに届かない。審査員が数字を突き合わせると矛盾に見える。</t>
        </is>
      </c>
      <c r="I5" s="5" t="inlineStr">
        <is>
          <t>次のどちらかで揃える。
(a) 1年目サマリを「ODM比率の向上・価格転嫁・労務費の抑制で原価率を0.25pt改善」に直し、内訳に「1年目は既存の営業・開発体制による既存顧客への提案で+1.5ptとし、社員の再配置（段階3）後は提案件数を増やして比率を維持・拡大する」と一文添える。
(b) ODM比率の上げ幅を時期に合わせて配分する（例：1年目+1.0pt、2・3年目+1.75pt。3年目14.5%は同じ）。1年目の改善は0.20+0.05+0.07＝0.32pt≧0.25ptで成り立つ。
どちらも、その３①(2)の表現を同じにする。</t>
        </is>
      </c>
      <c r="J5" s="5" t="inlineStr">
        <is>
          <t>2-c、3-f、3-g</t>
        </is>
      </c>
      <c r="K5" s="5" t="inlineStr">
        <is>
          <t>計画書4章・3章、その３【算定根拠】</t>
        </is>
      </c>
      <c r="L5" s="7" t="inlineStr">
        <is>
          <t>未対応</t>
        </is>
      </c>
      <c r="M5" s="9" t="inlineStr"/>
    </row>
    <row r="6" ht="78" customHeight="1">
      <c r="A6" s="7" t="n">
        <v>2</v>
      </c>
      <c r="B6" s="8" t="inlineStr">
        <is>
          <t>B</t>
        </is>
      </c>
      <c r="C6" s="7" t="inlineStr">
        <is>
          <t>②</t>
        </is>
      </c>
      <c r="D6" s="5" t="inlineStr">
        <is>
          <t>整合（体制・賃上げ表明）</t>
        </is>
      </c>
      <c r="E6" s="5" t="inlineStr">
        <is>
          <t>その１その２／スケジュール</t>
        </is>
      </c>
      <c r="F6" s="5" t="inlineStr">
        <is>
          <t>5章①体制表（翠田社長・沖野常務の役割）
スケジュール：「5.賃上げ ①賃上げ計画の表明」の実施者、取組内容「５．賃上げ」、計画書末尾のスケジュール画像</t>
        </is>
      </c>
      <c r="G6" s="5" t="inlineStr">
        <is>
          <t>計画書：社長「事業責任者：…賃上げ計画の表明…」、沖野「…賃上げ計画の表明の準備…」
スケジュール：実施者「統括責任者」、「統括責任者は、採択後から交付申請までに、賃上げ計画…を…表明する」</t>
        </is>
      </c>
      <c r="H6" s="5" t="inlineStr">
        <is>
          <t>前回No.22の修正で賃上げ計画を表明するのは社長（事業責任者）にしたが、スケジュール（Excel・計画書に貼った画像）は表明の主体が統括責任者のままで、計画書とスケジュールが一致しない。賃金引上げ計画の表明書は代表者名で出すため、社長を主体にそろえるのが自然。また、スケジュールの実施者に事業責任者（社長）が一度も出てこない。</t>
        </is>
      </c>
      <c r="I6" s="5" t="inlineStr">
        <is>
          <t>スケジュールの「5.①賃上げ計画の表明」の実施者を「事業責任者（社長）
統括責任者」に、取組内容「５．賃上げ」を「事業責任者（社長）は、…表明する（統括責任者が準備する）」に修正する。修正後、計画書末尾のスケジュール画像を貼り直す。</t>
        </is>
      </c>
      <c r="J6" s="5" t="inlineStr">
        <is>
          <t>3-b、3-c、3-e</t>
        </is>
      </c>
      <c r="K6" s="5" t="inlineStr">
        <is>
          <t>計画書5章①、スケジュールExcel</t>
        </is>
      </c>
      <c r="L6" s="7" t="inlineStr">
        <is>
          <t>未対応</t>
        </is>
      </c>
      <c r="M6" s="9" t="inlineStr"/>
    </row>
    <row r="7" ht="128" customHeight="1">
      <c r="A7" s="7" t="n">
        <v>3</v>
      </c>
      <c r="B7" s="8" t="inlineStr">
        <is>
          <t>B</t>
        </is>
      </c>
      <c r="C7" s="7" t="inlineStr">
        <is>
          <t>①</t>
        </is>
      </c>
      <c r="D7" s="5" t="inlineStr">
        <is>
          <t>説得力（新たな前提）</t>
        </is>
      </c>
      <c r="E7" s="5" t="inlineStr">
        <is>
          <t>その１その２／その３</t>
        </is>
      </c>
      <c r="F7" s="5" t="inlineStr">
        <is>
          <t>2-2①「受注」行、4章【1】①顧客（断った案件）、4章②各年度サマリ1年目
その３：【算定根拠】①(1)</t>
        </is>
      </c>
      <c r="G7" s="5" t="inlineStr">
        <is>
          <t>「(a)休憩・欠員時の供給待ちによる停止（1日約30分≒年約110万袋）がなくなり、(b)製袋室が少人数で回るため土曜稼働を月2日追加できる（年360万袋）」</t>
        </is>
      </c>
      <c r="H7" s="5" t="inlineStr">
        <is>
          <t>前回No.4の修正で加えた2つの前提について、補足が足りない。
①土曜稼働には製袋室だけでなく、充填（1名）・包装（2〜3名）・製袋機のオペレーターの出勤が必要だが、その体制と費用（休日出勤手当等）が書かれていない。「製袋室が少人数で回るため」だけでは、土曜に稼働できる理由として弱い。
②「供給待ちによる停止（1日約30分）」は、1-2・1-3の現状分析に出てこない新しい事実で、2-2と4章で急に出てくる。
③年間稼働日数は245日のまま（2-1、別紙3）。土曜の追加分を省力化効果に入れていない控えめな計算なので問題はないが、問われたときに説明できるようにしておく。</t>
        </is>
      </c>
      <c r="I7" s="5" t="inlineStr">
        <is>
          <t>①4章【1】(b)に「土曜は日勤1シフトで稼働し（製袋1名・充填1名・包装2〜3名）、休日出勤の費用は人件費の計画の中で吸収する」等を一文加える。
②1-2課題①の現状に「休憩や欠員のときは供給待ちで製袋機が止まり、1日約30分の停止が生じている」を一文加える。
※数値（30分、月2日、体制）はクライアントに確認する（No.7）。行が増える場合は、1-2の追記を2-2の受注行に入れて吸収する。</t>
        </is>
      </c>
      <c r="J7" s="5" t="inlineStr">
        <is>
          <t>2-c、3-a、3-d</t>
        </is>
      </c>
      <c r="K7" s="5" t="inlineStr">
        <is>
          <t>計画書2-2・4章、その３</t>
        </is>
      </c>
      <c r="L7" s="7" t="inlineStr">
        <is>
          <t>未対応</t>
        </is>
      </c>
      <c r="M7" s="9" t="inlineStr"/>
    </row>
    <row r="8" ht="65.5" customHeight="1">
      <c r="A8" s="7" t="n">
        <v>4</v>
      </c>
      <c r="B8" s="10" t="inlineStr">
        <is>
          <t>C</t>
        </is>
      </c>
      <c r="C8" s="7" t="inlineStr">
        <is>
          <t>①</t>
        </is>
      </c>
      <c r="D8" s="5" t="inlineStr">
        <is>
          <t>整合（製作期間と日程）</t>
        </is>
      </c>
      <c r="E8" s="5" t="inlineStr">
        <is>
          <t>その１その２</t>
        </is>
      </c>
      <c r="F8" s="5" t="inlineStr">
        <is>
          <t>5章④スケジュール表「③製作」、5章③「１．」、6章①リスク①</t>
        </is>
      </c>
      <c r="G8" s="5" t="inlineStr">
        <is>
          <t>「③製作　2027年5〜12月　発注から7〜9か月」「②発注・契約 2027年5月」「④受入準備・納入・据付 2027年11月〜2028年1月」</t>
        </is>
      </c>
      <c r="H8" s="5" t="inlineStr">
        <is>
          <t>2027年5月に発注して製作が9か月かかると、納入は2028年2月になり、表の「製作 5〜12月」「納入 2027年12月〜2028年1月」「検収 2028年1月」と合わない。表の日程は7か月で組んでいる。6章①で「決算日（3月20日）まで約2か月の余裕」と書いているので、9か月でも間に合うことを表で示すと読み手が迷わない。</t>
        </is>
      </c>
      <c r="I8" s="5" t="inlineStr">
        <is>
          <t>「③製作　2027年5〜12月　発注から約7か月（フジシール確認済み。最長9か月でも決算日の3月20日までに完了できる）」のように、日程の前提を7か月と明記する。</t>
        </is>
      </c>
      <c r="J8" s="5" t="inlineStr">
        <is>
          <t>3-b</t>
        </is>
      </c>
      <c r="K8" s="5" t="inlineStr">
        <is>
          <t>計画書5章④・6章①</t>
        </is>
      </c>
      <c r="L8" s="7" t="inlineStr">
        <is>
          <t>未対応</t>
        </is>
      </c>
      <c r="M8" s="9" t="inlineStr"/>
    </row>
    <row r="9" ht="103" customHeight="1">
      <c r="A9" s="7" t="n">
        <v>5</v>
      </c>
      <c r="B9" s="10" t="inlineStr">
        <is>
          <t>C</t>
        </is>
      </c>
      <c r="C9" s="7" t="inlineStr">
        <is>
          <t>①②</t>
        </is>
      </c>
      <c r="D9" s="5" t="inlineStr">
        <is>
          <t>整合（型替えの前提）</t>
        </is>
      </c>
      <c r="E9" s="5" t="inlineStr">
        <is>
          <t>その１その２／その３</t>
        </is>
      </c>
      <c r="F9" s="5" t="inlineStr">
        <is>
          <t>2-1④注記「型替え0分／14分→7分（予備パレットは形状別に使い分け、型替えは機内25枚のみ）」
その３：（別紙２）「専用パレットの型替え」の説明、図（パウチ供給工程）「2品種の日の半数で28分」</t>
        </is>
      </c>
      <c r="G9" s="5" t="inlineStr">
        <is>
          <t>本文「型替え0分／14分→7分」
別紙２「パウチ形状が変わる品種切替時に、機内25枚のガイド幅を替える（約1.1分／枚≒28分）。月平均」</t>
        </is>
      </c>
      <c r="H9" s="5" t="inlineStr">
        <is>
          <t>1回の型替えは28分（25枚×約1.1分）だが、本文の「2品種の日14分」は、形状が変わるのが2品種の日の半数であることを前提にした値で、本文にはその説明がない（図にだけある）。また、前回No.13で本文に加えた「予備パレットは形状別に使い分け」が、その３（別紙２）には入っていない。</t>
        </is>
      </c>
      <c r="I9" s="5" t="inlineStr">
        <is>
          <t>本文注記を「型替え0分／14分（形状が変わるのは2品種の日の半数、1回28分）→7分」に、別紙２の説明を「…機内25枚のガイド幅を替える（約1.1分／枚≒28分、2品種の日の半数）。予備パレットは形状別に保有する。月平均」に直す。</t>
        </is>
      </c>
      <c r="J9" s="5" t="inlineStr">
        <is>
          <t>2-a</t>
        </is>
      </c>
      <c r="K9" s="5" t="inlineStr">
        <is>
          <t>計画書2-1④、その３（別紙２）、図</t>
        </is>
      </c>
      <c r="L9" s="7" t="inlineStr">
        <is>
          <t>未対応</t>
        </is>
      </c>
      <c r="M9" s="9" t="inlineStr"/>
    </row>
    <row r="10" ht="53" customHeight="1">
      <c r="A10" s="7" t="n">
        <v>6</v>
      </c>
      <c r="B10" s="10" t="inlineStr">
        <is>
          <t>C</t>
        </is>
      </c>
      <c r="C10" s="7" t="inlineStr">
        <is>
          <t>①</t>
        </is>
      </c>
      <c r="D10" s="5" t="inlineStr">
        <is>
          <t>表現（体制）</t>
        </is>
      </c>
      <c r="E10" s="5" t="inlineStr">
        <is>
          <t>その１その２</t>
        </is>
      </c>
      <c r="F10" s="5" t="inlineStr">
        <is>
          <t>5章①社内の実施体制（冒頭文）</t>
        </is>
      </c>
      <c r="G10" s="5" t="inlineStr">
        <is>
          <t>「事業責任者の社長の下、統括責任者の沖野が現場（生産部）と財務・事務（経営統括本部）を束ね、月次で社長へ報告する。」</t>
        </is>
      </c>
      <c r="H10" s="5" t="inlineStr">
        <is>
          <t>経営統括本部長の山崎氏は沖野氏と同じ常務取締役であり、「沖野が経営統括本部を束ねる」は組織上の上下関係を誤解させるおそれがある（体制表では山崎氏は財務・事務管理責任者）。</t>
        </is>
      </c>
      <c r="I10" s="5" t="inlineStr">
        <is>
          <t>「事業責任者の社長の下、統括責任者の沖野が、現場（生産部）と財務・事務管理責任者の山崎（経営統括本部）と連携して事業を進め、月次で社長へ報告する。」等に修正する（字数はほぼ同じ）。</t>
        </is>
      </c>
      <c r="J10" s="5" t="inlineStr">
        <is>
          <t>3-c</t>
        </is>
      </c>
      <c r="K10" s="5" t="inlineStr">
        <is>
          <t>計画書5章①</t>
        </is>
      </c>
      <c r="L10" s="7" t="inlineStr">
        <is>
          <t>未対応</t>
        </is>
      </c>
      <c r="M10" s="9" t="inlineStr"/>
    </row>
    <row r="11" ht="190.5" customHeight="1">
      <c r="A11" s="7" t="n">
        <v>7</v>
      </c>
      <c r="B11" s="11" t="inlineStr">
        <is>
          <t>確認</t>
        </is>
      </c>
      <c r="C11" s="7" t="inlineStr">
        <is>
          <t>③</t>
        </is>
      </c>
      <c r="D11" s="5" t="inlineStr">
        <is>
          <t>仮置き数値の確認</t>
        </is>
      </c>
      <c r="E11" s="5" t="inlineStr">
        <is>
          <t>その１その２／その３</t>
        </is>
      </c>
      <c r="F11" s="5" t="inlineStr">
        <is>
          <t>2-2①②、3-1②、4章【1】【2】、2-1④、その３【算定根拠】①③・（別紙３）</t>
        </is>
      </c>
      <c r="G11" s="5" t="inlineStr">
        <is>
          <t>前回の修正で、当方が仮に置いた数値</t>
        </is>
      </c>
      <c r="H11" s="5" t="inlineStr">
        <is>
          <t>次の数値は前回の修正で当方が仮に置いた値で、クライアントの実態と合っているかを確認する必要がある（口頭審査で根拠を問われる可能性が高い）。
・供給待ちによる停止 1日約30分（年約110万袋）
・土曜稼働 月2日（年360万袋）と、その日の出勤体制
・断った案件の発注元が、導入後に約半分（年400万袋）を発注する見込みがあるか（打診状況）
・1年目の増収の内訳：価格転嫁+1.5%（約1.7億円）、既存顧客の増量 約0.9億円
・ODM売上比率 現状約10%→3年目約14.5%、OEMとの粗利率差 約20pt
・既存従業員の昇給 年約4%、新卒入社による平均の引下げ 約0.5pt
・予備パレットを形状別に保有する運用。65枚を2形状に分けると1形状あたり約32枚で、機内25枚と合わせて約57枚。遅番の使用量（150袋／分×420分÷1,200袋≒53枚）を賄えるが余裕は小さい</t>
        </is>
      </c>
      <c r="I11" s="5" t="inlineStr">
        <is>
          <t>クライアント（必要に応じフジシール）に確認し、違っていれば本文・その３の数値を直す。</t>
        </is>
      </c>
      <c r="J11" s="5" t="inlineStr">
        <is>
          <t>2-a、2-c、3-e</t>
        </is>
      </c>
      <c r="K11" s="5" t="inlineStr">
        <is>
          <t>前回の修正内容</t>
        </is>
      </c>
      <c r="L11" s="7" t="inlineStr">
        <is>
          <t>未対応</t>
        </is>
      </c>
      <c r="M11" s="9" t="inlineStr"/>
    </row>
    <row r="12" ht="53" customHeight="1">
      <c r="A12" s="7" t="n">
        <v>8</v>
      </c>
      <c r="B12" s="11" t="inlineStr">
        <is>
          <t>確認</t>
        </is>
      </c>
      <c r="C12" s="7" t="inlineStr">
        <is>
          <t>③</t>
        </is>
      </c>
      <c r="D12" s="5" t="inlineStr">
        <is>
          <t>提出前の確認（コメント）</t>
        </is>
      </c>
      <c r="E12" s="5" t="inlineStr">
        <is>
          <t>その１その２</t>
        </is>
      </c>
      <c r="F12" s="5" t="inlineStr">
        <is>
          <t>（４）経費一覧 No.3「仮置き台車（17台）」、No.5「既設SPM機」</t>
        </is>
      </c>
      <c r="G12" s="5" t="inlineStr">
        <is>
          <t>Wordのコメント2件（「運搬具とみなされ補助対象外になるリスク…」「既存の機械装置・システムの改良又は据付けに要する経費は対象外…」）</t>
        </is>
      </c>
      <c r="H12" s="5" t="inlineStr">
        <is>
          <t>修正版のWordに、前回No.2・No.16に対応するコメントが2件残っている。調整中の論点であり内容は前回の指摘どおりだが、提出用のPDF・Wordにコメントが残らないよう注意が必要。</t>
        </is>
      </c>
      <c r="I12" s="5" t="inlineStr">
        <is>
          <t>No.2・No.16の調整（見積の分割・補助対象外経費の切り分け）が終わったら、コメントを削除してから提出用ファイルを作る。</t>
        </is>
      </c>
      <c r="J12" s="5" t="inlineStr">
        <is>
          <t>1-a</t>
        </is>
      </c>
      <c r="K12" s="5" t="inlineStr">
        <is>
          <t>修正版Word（コメント）</t>
        </is>
      </c>
      <c r="L12" s="7" t="inlineStr">
        <is>
          <t>未対応</t>
        </is>
      </c>
      <c r="M12" s="9" t="inlineStr"/>
    </row>
  </sheetData>
  <autoFilter ref="A4:M12"/>
  <dataValidations count="1">
    <dataValidation sqref="L5:L12" showDropDown="0" showInputMessage="0" showErrorMessage="0" allowBlank="1" type="list">
      <formula1>"未対応,対応中,対応済,対応不要"</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6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18" customWidth="1" min="3" max="3"/>
    <col width="46" customWidth="1" min="4" max="4"/>
    <col width="30" customWidth="1" min="5" max="5"/>
    <col width="16" customWidth="1" min="6" max="6"/>
    <col width="70" customWidth="1" min="7" max="7"/>
  </cols>
  <sheetData>
    <row r="1">
      <c r="A1" s="3" t="inlineStr">
        <is>
          <t>前回指摘の反映状況（前回のチェック結果のM列＝対応方針どおりに修正版へ反映されているか）</t>
        </is>
      </c>
    </row>
    <row r="2">
      <c r="A2" s="2" t="inlineStr">
        <is>
          <t>対応方針が空欄・「修正不要」等の項目は「対応不要（方針どおり）」としています。残っている点がある場合のみ右端に記載しています。</t>
        </is>
      </c>
    </row>
    <row r="4" ht="30" customHeight="1">
      <c r="A4" s="6" t="inlineStr">
        <is>
          <t>前回No</t>
        </is>
      </c>
      <c r="B4" s="6" t="inlineStr">
        <is>
          <t>重要度</t>
        </is>
      </c>
      <c r="C4" s="6" t="inlineStr">
        <is>
          <t>分類</t>
        </is>
      </c>
      <c r="D4" s="6" t="inlineStr">
        <is>
          <t>該当箇所（前回）</t>
        </is>
      </c>
      <c r="E4" s="6" t="inlineStr">
        <is>
          <t>前回の対応方針（M列）</t>
        </is>
      </c>
      <c r="F4" s="6" t="inlineStr">
        <is>
          <t>今回の確認結果</t>
        </is>
      </c>
      <c r="G4" s="6" t="inlineStr">
        <is>
          <t>確認内容・残っている点</t>
        </is>
      </c>
    </row>
    <row r="5" ht="40.5" customHeight="1">
      <c r="A5" s="7" t="n">
        <v>1</v>
      </c>
      <c r="B5" s="12" t="inlineStr">
        <is>
          <t>A</t>
        </is>
      </c>
      <c r="C5" s="5" t="inlineStr">
        <is>
          <t>数値・計算／要件</t>
        </is>
      </c>
      <c r="D5" s="5" t="inlineStr">
        <is>
          <t>その１その２：2-2②「投資回収期間（0.33年）」本文・要素表、6章①リスク②
その３：【３】投資回収期間、（別紙３）</t>
        </is>
      </c>
      <c r="E5" s="5" t="inlineStr">
        <is>
          <t>別紙３のガイドに記載の計算式が正しいので、修正不要とします。</t>
        </is>
      </c>
      <c r="F5" s="10" t="inlineStr">
        <is>
          <t>対応不要（方針どおり）</t>
        </is>
      </c>
      <c r="G5" s="5" t="inlineStr">
        <is>
          <t>0.33年を主値とし、2-2②・6章①に保守ケース0.93年を併記している（方針どおり）。</t>
        </is>
      </c>
    </row>
    <row r="6" ht="53" customHeight="1">
      <c r="A6" s="7" t="n">
        <v>2</v>
      </c>
      <c r="B6" s="12" t="inlineStr">
        <is>
          <t>A</t>
        </is>
      </c>
      <c r="C6" s="5" t="inlineStr">
        <is>
          <t>要件（補助対象経費）</t>
        </is>
      </c>
      <c r="D6" s="5" t="inlineStr">
        <is>
          <t>その１その２：（４）経費一覧No.5・No.6、2章②表No.5・No.6、2章④「既設機を活かす改造で投資額も抑えている」、2章⑤、4章①
その３：（別紙３）投資総額の根拠</t>
        </is>
      </c>
      <c r="E6" s="5" t="inlineStr">
        <is>
          <t>調整します。今はそのままにしておいて下さい。</t>
        </is>
      </c>
      <c r="F6" s="11" t="inlineStr">
        <is>
          <t>保留（調整中）</t>
        </is>
      </c>
      <c r="G6" s="5" t="inlineStr">
        <is>
          <t>（４）表・2章②表は前回のまま。Wordにコメントが付いている（新規No.8）。</t>
        </is>
      </c>
    </row>
    <row r="7" ht="28" customHeight="1">
      <c r="A7" s="7" t="n">
        <v>3</v>
      </c>
      <c r="B7" s="12" t="inlineStr">
        <is>
          <t>A</t>
        </is>
      </c>
      <c r="C7" s="5" t="inlineStr">
        <is>
          <t>要件（経費区分）</t>
        </is>
      </c>
      <c r="D7" s="5" t="inlineStr">
        <is>
          <t>（４）経費一覧No.4</t>
        </is>
      </c>
      <c r="E7" s="5" t="inlineStr">
        <is>
          <t>手動で修正しました。</t>
        </is>
      </c>
      <c r="F7" s="13" t="inlineStr">
        <is>
          <t>反映済</t>
        </is>
      </c>
      <c r="G7" s="5" t="inlineStr">
        <is>
          <t>（４）No.4の経費区分が「機械装置・システム構築費」になっている。2章②表は経費区分の列がないため影響なし。</t>
        </is>
      </c>
    </row>
    <row r="8" ht="65.5" customHeight="1">
      <c r="A8" s="7" t="n">
        <v>4</v>
      </c>
      <c r="B8" s="12" t="inlineStr">
        <is>
          <t>A</t>
        </is>
      </c>
      <c r="C8" s="5" t="inlineStr">
        <is>
          <t>論理・整合／説得力</t>
        </is>
      </c>
      <c r="D8" s="5" t="inlineStr">
        <is>
          <t>その１その２：1-2①、2-2①「受注」行、2-2②Gライン部門単独、3章③、4章②各年度サマリ・【1】①顧客（断った案件）、6章①②
その３：【算定根拠】①(1)、（別紙３）Gライン部門</t>
        </is>
      </c>
      <c r="E8" s="5" t="inlineStr">
        <is>
          <t>a~cの組み合わせで作成しなおしてください。〇部分の数値は適切な数値を策定してください。</t>
        </is>
      </c>
      <c r="F8" s="13" t="inlineStr">
        <is>
          <t>反映済</t>
        </is>
      </c>
      <c r="G8" s="5" t="inlineStr">
        <is>
          <t>a（停止30分）・b（土曜月2日）・c（価格転嫁・既存顧客の増量）の組合せで、2-2①受注行・2-2②Gライン単独（2.78年）・3章③・4章サマリ・4章【1】・6章②・その３①(1)・（別紙３）を書き直し済み。前提の補足は新規No.3、数値の確認は新規No.7。</t>
        </is>
      </c>
    </row>
    <row r="9" ht="103" customHeight="1">
      <c r="A9" s="7" t="n">
        <v>5</v>
      </c>
      <c r="B9" s="12" t="inlineStr">
        <is>
          <t>A</t>
        </is>
      </c>
      <c r="C9" s="5" t="inlineStr">
        <is>
          <t>論理・整合（省力化指数の根拠）</t>
        </is>
      </c>
      <c r="D9" s="5" t="inlineStr">
        <is>
          <t>その１その２：1-3「▶1,050分のうち②〜⑦の1,030分は、本投資で無くなる作業」、2-1①「左の現状のうちオレンジの②〜⑦（1,030分）が無くなり」「・無くなる作業：開梱・片付け・ほぐし…計1,030分」、2-1④注記「現状の時間は…実作業を1日約131回のサイクルで積算」
図「パウチ供給工程のビフォーアフター」④「無くなる（投入の合間に継続）」</t>
        </is>
      </c>
      <c r="E9" s="5" t="inlineStr">
        <is>
          <t>案に沿って修正してください。</t>
        </is>
      </c>
      <c r="F9" s="13" t="inlineStr">
        <is>
          <t>反映済</t>
        </is>
      </c>
      <c r="G9" s="5" t="inlineStr">
        <is>
          <t>1-3・2-1①・図（パウチ供給工程）・注記で「削減される作業」に統一し、開梱・片付け・ほぐしは詰めに集約と明記。ほぐし563分の根拠も2-1④注記に記載。</t>
        </is>
      </c>
    </row>
    <row r="10" ht="40.5" customHeight="1">
      <c r="A10" s="7" t="n">
        <v>6</v>
      </c>
      <c r="B10" s="12" t="inlineStr">
        <is>
          <t>A</t>
        </is>
      </c>
      <c r="C10" s="5" t="inlineStr">
        <is>
          <t>画像・図（要目視確認）</t>
        </is>
      </c>
      <c r="D10" s="5" t="inlineStr">
        <is>
          <t>5章④末尾「全体スケジュールは別紙（次ページ）に示す」、最終ページの補助事業スケジュール</t>
        </is>
      </c>
      <c r="E10" s="5" t="inlineStr">
        <is>
          <t>エクセルの「20261001【更新版】★20260930スケジュール」と照合してください。</t>
        </is>
      </c>
      <c r="F10" s="13" t="inlineStr">
        <is>
          <t>反映済</t>
        </is>
      </c>
      <c r="G10" s="5" t="inlineStr">
        <is>
          <t>計画書末尾の画像とスケジュールExcelの項目・月が一致（他社の内容なし）。ただし賃上げ表明の主体が計画書と不一致（新規No.2）。</t>
        </is>
      </c>
    </row>
    <row r="11" ht="40.5" customHeight="1">
      <c r="A11" s="7" t="n">
        <v>7</v>
      </c>
      <c r="B11" s="12" t="inlineStr">
        <is>
          <t>A</t>
        </is>
      </c>
      <c r="C11" s="5" t="inlineStr">
        <is>
          <t>論理・整合／審査上不利</t>
        </is>
      </c>
      <c r="D11" s="5" t="inlineStr">
        <is>
          <t>その１その２：1-1 S4、3-1②、4章②表（人件費）・【3】人件費
その３：【算定根拠】③、（別紙４）</t>
        </is>
      </c>
      <c r="E11" s="5" t="inlineStr">
        <is>
          <t>b案で修正してください。</t>
        </is>
      </c>
      <c r="F11" s="13" t="inlineStr">
        <is>
          <t>反映済</t>
        </is>
      </c>
      <c r="G11" s="5" t="inlineStr">
        <is>
          <t>b案で、3-1②・4章【3】・その３③に「人件費総額ベース約5%」「入替で平均の伸びが小さくなる」「給与+9.8%・人件費+0.7%の理由」を記載。</t>
        </is>
      </c>
    </row>
    <row r="12" ht="28" customHeight="1">
      <c r="A12" s="7" t="n">
        <v>8</v>
      </c>
      <c r="B12" s="14" t="inlineStr">
        <is>
          <t>B</t>
        </is>
      </c>
      <c r="C12" s="5" t="inlineStr">
        <is>
          <t>数値・出典</t>
        </is>
      </c>
      <c r="D12" s="5" t="inlineStr">
        <is>
          <t>1-1 SWOT T3〔調達・物価〕</t>
        </is>
      </c>
      <c r="E12" s="5" t="inlineStr">
        <is>
          <t>修正不要</t>
        </is>
      </c>
      <c r="F12" s="10" t="inlineStr">
        <is>
          <t>対応不要（方針どおり）</t>
        </is>
      </c>
      <c r="G12" s="5" t="inlineStr"/>
    </row>
    <row r="13" ht="15.5" customHeight="1">
      <c r="A13" s="7" t="n">
        <v>9</v>
      </c>
      <c r="B13" s="14" t="inlineStr">
        <is>
          <t>B</t>
        </is>
      </c>
      <c r="C13" s="5" t="inlineStr">
        <is>
          <t>数値・出典</t>
        </is>
      </c>
      <c r="D13" s="5" t="inlineStr">
        <is>
          <t>1-1 SWOT T1〔労働市場〕、3章⑥地域雇用</t>
        </is>
      </c>
      <c r="E13" s="5" t="inlineStr">
        <is>
          <t>案に沿って修正してください。</t>
        </is>
      </c>
      <c r="F13" s="13" t="inlineStr">
        <is>
          <t>反映済</t>
        </is>
      </c>
      <c r="G13" s="5" t="inlineStr">
        <is>
          <t>T1・3章⑥を「需要の約23%の人手不足」に修正済み。</t>
        </is>
      </c>
    </row>
    <row r="14" ht="28" customHeight="1">
      <c r="A14" s="7" t="n">
        <v>10</v>
      </c>
      <c r="B14" s="14" t="inlineStr">
        <is>
          <t>B</t>
        </is>
      </c>
      <c r="C14" s="5" t="inlineStr">
        <is>
          <t>論理・整合</t>
        </is>
      </c>
      <c r="D14" s="5" t="inlineStr">
        <is>
          <t>1-1 SWOT W1、1-2課題①（図の説明文）</t>
        </is>
      </c>
      <c r="E14" s="5" t="inlineStr">
        <is>
          <t>案に沿って修正してください。</t>
        </is>
      </c>
      <c r="F14" s="13" t="inlineStr">
        <is>
          <t>反映済</t>
        </is>
      </c>
      <c r="G14" s="5" t="inlineStr">
        <is>
          <t>W1・課題①の説明文を「製袋室内の圧着・検査・搬送は機械化済み」「充填・包装は本事業で変わらない」に修正済み。</t>
        </is>
      </c>
    </row>
    <row r="15" ht="28" customHeight="1">
      <c r="A15" s="7" t="n">
        <v>11</v>
      </c>
      <c r="B15" s="14" t="inlineStr">
        <is>
          <t>B</t>
        </is>
      </c>
      <c r="C15" s="5" t="inlineStr">
        <is>
          <t>説得力</t>
        </is>
      </c>
      <c r="D15" s="5" t="inlineStr">
        <is>
          <t>1-1 W3、1-2課題②、2-2①人員行、3章①</t>
        </is>
      </c>
      <c r="E15" s="5" t="inlineStr">
        <is>
          <t>修正不要</t>
        </is>
      </c>
      <c r="F15" s="10" t="inlineStr">
        <is>
          <t>対応不要（方針どおり）</t>
        </is>
      </c>
      <c r="G15" s="5" t="inlineStr"/>
    </row>
    <row r="16" ht="65.5" customHeight="1">
      <c r="A16" s="7" t="n">
        <v>12</v>
      </c>
      <c r="B16" s="14" t="inlineStr">
        <is>
          <t>B</t>
        </is>
      </c>
      <c r="C16" s="5" t="inlineStr">
        <is>
          <t>数値・計算／論理・整合</t>
        </is>
      </c>
      <c r="D16" s="5" t="inlineStr">
        <is>
          <t>（４）注記・2章主要仕様「24,000袋（約2時間分）」、1-3「約2時間に1回・約3分のパレット入替」、2-2①稼働行、その３（別紙２）「約2時間に1回」、図（投入作業のサイクル）「入替は約3分×4時間で2回」</t>
        </is>
      </c>
      <c r="E16" s="5" t="inlineStr">
        <is>
          <t>案に沿って修正してください。</t>
        </is>
      </c>
      <c r="F16" s="13" t="inlineStr">
        <is>
          <t>反映済</t>
        </is>
      </c>
      <c r="G16" s="5" t="inlineStr">
        <is>
          <t>「24,000袋（約2.7時間分）」「約2.5〜3時間に1回（1日4〜6回）」に、（４）注記・1-3・2章①②・2-1②・2-2①・その３（別紙２）・図3点で統一済み。</t>
        </is>
      </c>
    </row>
    <row r="17" ht="40.5" customHeight="1">
      <c r="A17" s="7" t="n">
        <v>13</v>
      </c>
      <c r="B17" s="14" t="inlineStr">
        <is>
          <t>B</t>
        </is>
      </c>
      <c r="C17" s="5" t="inlineStr">
        <is>
          <t>数値・計算（要確認）</t>
        </is>
      </c>
      <c r="D17" s="5" t="inlineStr">
        <is>
          <t>2-1④注記「型替え0分／14分→7分」、その３（別紙２）「機内25枚のガイド幅を替える（約1.1分／枚≒28分）」</t>
        </is>
      </c>
      <c r="E17" s="5" t="inlineStr">
        <is>
          <t>案に沿って修正してください。</t>
        </is>
      </c>
      <c r="F17" s="8" t="inlineStr">
        <is>
          <t>一部未反映</t>
        </is>
      </c>
      <c r="G17" s="5" t="inlineStr">
        <is>
          <t>本文（2-1④注記）には「予備パレットは形状別、型替えは機内25枚のみ」を記載したが、その３（別紙２）には未反映（新規No.5）。</t>
        </is>
      </c>
    </row>
    <row r="18" ht="40.5" customHeight="1">
      <c r="A18" s="7" t="n">
        <v>14</v>
      </c>
      <c r="B18" s="14" t="inlineStr">
        <is>
          <t>B</t>
        </is>
      </c>
      <c r="C18" s="5" t="inlineStr">
        <is>
          <t>表記・定義</t>
        </is>
      </c>
      <c r="D18" s="5" t="inlineStr">
        <is>
          <t>2章冒頭「投資総額は92,000,000円（税抜）」／2-2②・4章①・その３（別紙３）「投資総額101,200,000円（税込）」</t>
        </is>
      </c>
      <c r="E18" s="5" t="inlineStr">
        <is>
          <t>修正不要</t>
        </is>
      </c>
      <c r="F18" s="10" t="inlineStr">
        <is>
          <t>対応不要（方針どおり）</t>
        </is>
      </c>
      <c r="G18" s="5" t="inlineStr"/>
    </row>
    <row r="19" ht="40.5" customHeight="1">
      <c r="A19" s="7" t="n">
        <v>15</v>
      </c>
      <c r="B19" s="14" t="inlineStr">
        <is>
          <t>B</t>
        </is>
      </c>
      <c r="C19" s="5" t="inlineStr">
        <is>
          <t>数値・計算（要確認）</t>
        </is>
      </c>
      <c r="D19" s="5" t="inlineStr">
        <is>
          <t>その３（別紙３）【算定根拠】「投資総額101,200,000円＝…補助対象経費92,000,000円（税抜）×1.1」、その１その２ 4章①</t>
        </is>
      </c>
      <c r="E19" s="5" t="inlineStr">
        <is>
          <t>細微な金額なので修正不要</t>
        </is>
      </c>
      <c r="F19" s="10" t="inlineStr">
        <is>
          <t>対応不要（方針どおり）</t>
        </is>
      </c>
      <c r="G19" s="5" t="inlineStr"/>
    </row>
    <row r="20" ht="28" customHeight="1">
      <c r="A20" s="7" t="n">
        <v>16</v>
      </c>
      <c r="B20" s="14" t="inlineStr">
        <is>
          <t>B</t>
        </is>
      </c>
      <c r="C20" s="5" t="inlineStr">
        <is>
          <t>要件（補助対象経費）</t>
        </is>
      </c>
      <c r="D20" s="5" t="inlineStr">
        <is>
          <t>（４）経費一覧No.3、2章②表No.3</t>
        </is>
      </c>
      <c r="E20" s="5" t="inlineStr">
        <is>
          <t>調整します。今はそのままにしておいて下さい。</t>
        </is>
      </c>
      <c r="F20" s="11" t="inlineStr">
        <is>
          <t>保留（調整中）</t>
        </is>
      </c>
      <c r="G20" s="5" t="inlineStr">
        <is>
          <t>前回のまま。Wordにコメントが付いている（新規No.8）。</t>
        </is>
      </c>
    </row>
    <row r="21" ht="28" customHeight="1">
      <c r="A21" s="7" t="n">
        <v>17</v>
      </c>
      <c r="B21" s="14" t="inlineStr">
        <is>
          <t>B</t>
        </is>
      </c>
      <c r="C21" s="5" t="inlineStr">
        <is>
          <t>整合（添付書類）</t>
        </is>
      </c>
      <c r="D21" s="5" t="inlineStr">
        <is>
          <t>（４）経費一覧・2章②表（小計96,790,000円、値引▲4,790,000円）</t>
        </is>
      </c>
      <c r="E21" s="5" t="inlineStr">
        <is>
          <t>調整します。今はそのままにしておいて下さい。</t>
        </is>
      </c>
      <c r="F21" s="11" t="inlineStr">
        <is>
          <t>保留（調整中）</t>
        </is>
      </c>
      <c r="G21" s="5" t="inlineStr">
        <is>
          <t>前回のまま。</t>
        </is>
      </c>
    </row>
    <row r="22" ht="40.5" customHeight="1">
      <c r="A22" s="7" t="n">
        <v>18</v>
      </c>
      <c r="B22" s="14" t="inlineStr">
        <is>
          <t>B</t>
        </is>
      </c>
      <c r="C22" s="5" t="inlineStr">
        <is>
          <t>説得力（算定根拠）</t>
        </is>
      </c>
      <c r="D22" s="5" t="inlineStr">
        <is>
          <t>その１その２：4章【2】売上原価、2-2③(2)
その３：【算定根拠】①(2)</t>
        </is>
      </c>
      <c r="E22" s="5" t="inlineStr">
        <is>
          <t>案に沿って修正してください。〇には適切な数値を策定してください。</t>
        </is>
      </c>
      <c r="F22" s="13" t="inlineStr">
        <is>
          <t>反映済</t>
        </is>
      </c>
      <c r="G22" s="5" t="inlineStr">
        <is>
          <t>4章【2】とその３①(2)に内訳（ODM 10%→14.5%、粗利率差約20pt等）を記載。ただし1年目のサマリ・段階3の時期と合わない（新規No.1）。</t>
        </is>
      </c>
    </row>
    <row r="23" ht="28" customHeight="1">
      <c r="A23" s="7" t="n">
        <v>19</v>
      </c>
      <c r="B23" s="14" t="inlineStr">
        <is>
          <t>B</t>
        </is>
      </c>
      <c r="C23" s="5" t="inlineStr">
        <is>
          <t>説得力（賃上げ）</t>
        </is>
      </c>
      <c r="D23" s="5" t="inlineStr">
        <is>
          <t>3-1②、2-2③(3)、1-1 T2</t>
        </is>
      </c>
      <c r="E23" s="5" t="inlineStr">
        <is>
          <t>①を追加してください。</t>
        </is>
      </c>
      <c r="F23" s="13" t="inlineStr">
        <is>
          <t>反映済</t>
        </is>
      </c>
      <c r="G23" s="5" t="inlineStr">
        <is>
          <t>3-1②・その３③に「既存従業員は年約4%、新卒入社による平均の引下げ約−0.5pt」を追加。</t>
        </is>
      </c>
    </row>
    <row r="24" ht="28" customHeight="1">
      <c r="A24" s="7" t="n">
        <v>20</v>
      </c>
      <c r="B24" s="14" t="inlineStr">
        <is>
          <t>B</t>
        </is>
      </c>
      <c r="C24" s="5" t="inlineStr">
        <is>
          <t>整合（KPI）</t>
        </is>
      </c>
      <c r="D24" s="5" t="inlineStr">
        <is>
          <t>3章①KPI表、5章③「４．効果検証・付加価値創出」、スケジュール表「４．効果検証」</t>
        </is>
      </c>
      <c r="E24" s="5" t="inlineStr">
        <is>
          <t>案に沿って修正してください。</t>
        </is>
      </c>
      <c r="F24" s="13" t="inlineStr">
        <is>
          <t>反映済</t>
        </is>
      </c>
      <c r="G24" s="5" t="inlineStr">
        <is>
          <t>3章①表の下に共通KPIを追加し、5章③・スケジュールのKPIを3章と同じ7項目にそろえた。</t>
        </is>
      </c>
    </row>
    <row r="25" ht="28" customHeight="1">
      <c r="A25" s="7" t="n">
        <v>21</v>
      </c>
      <c r="B25" s="14" t="inlineStr">
        <is>
          <t>B</t>
        </is>
      </c>
      <c r="C25" s="5" t="inlineStr">
        <is>
          <t>整合（本文と図）</t>
        </is>
      </c>
      <c r="D25" s="5" t="inlineStr">
        <is>
          <t>2-1③の図「シフト別の人の配置と作業時間の変化」遅番（夜勤）の現状の担当</t>
        </is>
      </c>
      <c r="E25" s="5" t="inlineStr">
        <is>
          <t>修正不要</t>
        </is>
      </c>
      <c r="F25" s="10" t="inlineStr">
        <is>
          <t>対応不要（方針どおり）</t>
        </is>
      </c>
      <c r="G25" s="5" t="inlineStr"/>
    </row>
    <row r="26" ht="40.5" customHeight="1">
      <c r="A26" s="7" t="n">
        <v>22</v>
      </c>
      <c r="B26" s="14" t="inlineStr">
        <is>
          <t>B</t>
        </is>
      </c>
      <c r="C26" s="5" t="inlineStr">
        <is>
          <t>説得力（体制）</t>
        </is>
      </c>
      <c r="D26" s="5" t="inlineStr">
        <is>
          <t>5章①社内の実施体制（体制表）、3-1②、5章③「５．賃上げ」</t>
        </is>
      </c>
      <c r="E26" s="5" t="inlineStr">
        <is>
          <t>案に沿って修正してください。</t>
        </is>
      </c>
      <c r="F26" s="13" t="inlineStr">
        <is>
          <t>反映済</t>
        </is>
      </c>
      <c r="G26" s="5" t="inlineStr">
        <is>
          <t>体制表の最上位に翠田社長（事業責任者）を追加し、沖野常務は統括責任者（実務）に。スケジュール側は未対応（新規No.2）。冒頭文の表現は新規No.6。</t>
        </is>
      </c>
    </row>
    <row r="27" ht="28" customHeight="1">
      <c r="A27" s="7" t="n">
        <v>23</v>
      </c>
      <c r="B27" s="14" t="inlineStr">
        <is>
          <t>B</t>
        </is>
      </c>
      <c r="C27" s="5" t="inlineStr">
        <is>
          <t>加点の機会</t>
        </is>
      </c>
      <c r="D27" s="5" t="inlineStr">
        <is>
          <t>6章②事業承継を契機とした取組</t>
        </is>
      </c>
      <c r="E27" s="5" t="inlineStr">
        <is>
          <t>加点を申請する旨を記載してください。</t>
        </is>
      </c>
      <c r="F27" s="13" t="inlineStr">
        <is>
          <t>反映済</t>
        </is>
      </c>
      <c r="G27" s="5" t="inlineStr">
        <is>
          <t>6章②に「事業承継（代表者交代）に係る加点を申請する」を追記。</t>
        </is>
      </c>
    </row>
    <row r="28" ht="15.5" customHeight="1">
      <c r="A28" s="7" t="n">
        <v>24</v>
      </c>
      <c r="B28" s="14" t="inlineStr">
        <is>
          <t>B</t>
        </is>
      </c>
      <c r="C28" s="5" t="inlineStr">
        <is>
          <t>記載漏れ</t>
        </is>
      </c>
      <c r="D28" s="5" t="inlineStr">
        <is>
          <t>4章①資金調達の方法</t>
        </is>
      </c>
      <c r="E28" s="5" t="inlineStr">
        <is>
          <t>案に沿って修正してください。</t>
        </is>
      </c>
      <c r="F28" s="13" t="inlineStr">
        <is>
          <t>反映済</t>
        </is>
      </c>
      <c r="G28" s="5" t="inlineStr">
        <is>
          <t>4章①に補助金を活用できない場合の影響を追記。</t>
        </is>
      </c>
    </row>
    <row r="29" ht="15.5" customHeight="1">
      <c r="A29" s="7" t="n">
        <v>25</v>
      </c>
      <c r="B29" s="15" t="inlineStr">
        <is>
          <t>C</t>
        </is>
      </c>
      <c r="C29" s="5" t="inlineStr">
        <is>
          <t>表記</t>
        </is>
      </c>
      <c r="D29" s="5" t="inlineStr">
        <is>
          <t>（３）事業計画の概要</t>
        </is>
      </c>
      <c r="E29" s="5" t="inlineStr">
        <is>
          <t>案に沿って修正してください。</t>
        </is>
      </c>
      <c r="F29" s="13" t="inlineStr">
        <is>
          <t>反映済</t>
        </is>
      </c>
      <c r="G29" s="5" t="inlineStr">
        <is>
          <t>概要を修正（約106字）。</t>
        </is>
      </c>
    </row>
    <row r="30" ht="15.5" customHeight="1">
      <c r="A30" s="7" t="n">
        <v>26</v>
      </c>
      <c r="B30" s="15" t="inlineStr">
        <is>
          <t>C</t>
        </is>
      </c>
      <c r="C30" s="5" t="inlineStr">
        <is>
          <t>表記ゆれ</t>
        </is>
      </c>
      <c r="D30" s="5" t="inlineStr">
        <is>
          <t>（４）冒頭</t>
        </is>
      </c>
      <c r="E30" s="5" t="inlineStr">
        <is>
          <t>案に沿って修正してください。</t>
        </is>
      </c>
      <c r="F30" s="13" t="inlineStr">
        <is>
          <t>反映済</t>
        </is>
      </c>
      <c r="G30" s="5" t="inlineStr">
        <is>
          <t>「発注予定先である…から見積を取得済み」に修正。</t>
        </is>
      </c>
    </row>
    <row r="31" ht="15.5" customHeight="1">
      <c r="A31" s="7" t="n">
        <v>27</v>
      </c>
      <c r="B31" s="15" t="inlineStr">
        <is>
          <t>C</t>
        </is>
      </c>
      <c r="C31" s="5" t="inlineStr">
        <is>
          <t>表記</t>
        </is>
      </c>
      <c r="D31" s="5" t="inlineStr">
        <is>
          <t>（４）経費一覧No.2</t>
        </is>
      </c>
      <c r="E31" s="5" t="inlineStr">
        <is>
          <t>案に沿って修正してください。</t>
        </is>
      </c>
      <c r="F31" s="13" t="inlineStr">
        <is>
          <t>反映済</t>
        </is>
      </c>
      <c r="G31" s="5" t="inlineStr">
        <is>
          <t>「5段×4列＋予備1列＝機内25枚、予備65枚」に修正。</t>
        </is>
      </c>
    </row>
    <row r="32" ht="28" customHeight="1">
      <c r="A32" s="7" t="n">
        <v>28</v>
      </c>
      <c r="B32" s="15" t="inlineStr">
        <is>
          <t>C</t>
        </is>
      </c>
      <c r="C32" s="5" t="inlineStr">
        <is>
          <t>表現（根拠）</t>
        </is>
      </c>
      <c r="D32" s="5" t="inlineStr">
        <is>
          <t>1．当社概要</t>
        </is>
      </c>
      <c r="E32" s="5" t="inlineStr">
        <is>
          <t>修正不要</t>
        </is>
      </c>
      <c r="F32" s="10" t="inlineStr">
        <is>
          <t>対応不要（方針どおり）</t>
        </is>
      </c>
      <c r="G32" s="5" t="inlineStr"/>
    </row>
    <row r="33" ht="15.5" customHeight="1">
      <c r="A33" s="7" t="n">
        <v>29</v>
      </c>
      <c r="B33" s="15" t="inlineStr">
        <is>
          <t>C</t>
        </is>
      </c>
      <c r="C33" s="5" t="inlineStr">
        <is>
          <t>数値（端数処理）</t>
        </is>
      </c>
      <c r="D33" s="5" t="inlineStr">
        <is>
          <t>1．事業内容①売上構成の表</t>
        </is>
      </c>
      <c r="E33" s="5" t="inlineStr">
        <is>
          <t>案に沿って修正してください。</t>
        </is>
      </c>
      <c r="F33" s="13" t="inlineStr">
        <is>
          <t>反映済</t>
        </is>
      </c>
      <c r="G33" s="5" t="inlineStr">
        <is>
          <t>83.5%・13.1%・3.4%（合計100.0%）に修正。</t>
        </is>
      </c>
    </row>
    <row r="34" ht="28" customHeight="1">
      <c r="A34" s="7" t="n">
        <v>30</v>
      </c>
      <c r="B34" s="15" t="inlineStr">
        <is>
          <t>C</t>
        </is>
      </c>
      <c r="C34" s="5" t="inlineStr">
        <is>
          <t>説得力</t>
        </is>
      </c>
      <c r="D34" s="5" t="inlineStr">
        <is>
          <t>1．長期的なビジョン【10年後】、1-3③</t>
        </is>
      </c>
      <c r="E34" s="5" t="inlineStr">
        <is>
          <t>修正不要</t>
        </is>
      </c>
      <c r="F34" s="10" t="inlineStr">
        <is>
          <t>対応不要（方針どおり）</t>
        </is>
      </c>
      <c r="G34" s="5" t="inlineStr"/>
    </row>
    <row r="35" ht="28" customHeight="1">
      <c r="A35" s="7" t="n">
        <v>31</v>
      </c>
      <c r="B35" s="15" t="inlineStr">
        <is>
          <t>C</t>
        </is>
      </c>
      <c r="C35" s="5" t="inlineStr">
        <is>
          <t>数値・出典</t>
        </is>
      </c>
      <c r="D35" s="5" t="inlineStr">
        <is>
          <t>1-1 O1、3章③表（機能性）</t>
        </is>
      </c>
      <c r="E35" s="5" t="inlineStr">
        <is>
          <t>修正不要</t>
        </is>
      </c>
      <c r="F35" s="10" t="inlineStr">
        <is>
          <t>対応不要（方針どおり）</t>
        </is>
      </c>
      <c r="G35" s="5" t="inlineStr"/>
    </row>
    <row r="36" ht="28" customHeight="1">
      <c r="A36" s="7" t="n">
        <v>32</v>
      </c>
      <c r="B36" s="15" t="inlineStr">
        <is>
          <t>C</t>
        </is>
      </c>
      <c r="C36" s="5" t="inlineStr">
        <is>
          <t>数値・出典</t>
        </is>
      </c>
      <c r="D36" s="5" t="inlineStr">
        <is>
          <t>1-1 T1、1-2課題②、1-3②代替案の表</t>
        </is>
      </c>
      <c r="E36" s="5" t="inlineStr">
        <is>
          <t>（空欄＝修正不要）</t>
        </is>
      </c>
      <c r="F36" s="10" t="inlineStr">
        <is>
          <t>対応不要（方針どおり）</t>
        </is>
      </c>
      <c r="G36" s="5" t="inlineStr"/>
    </row>
    <row r="37" ht="28" customHeight="1">
      <c r="A37" s="7" t="n">
        <v>33</v>
      </c>
      <c r="B37" s="15" t="inlineStr">
        <is>
          <t>C</t>
        </is>
      </c>
      <c r="C37" s="5" t="inlineStr">
        <is>
          <t>相互参照</t>
        </is>
      </c>
      <c r="D37" s="5" t="inlineStr">
        <is>
          <t>1-2②課題①</t>
        </is>
      </c>
      <c r="E37" s="5" t="inlineStr">
        <is>
          <t>（空欄＝修正不要）</t>
        </is>
      </c>
      <c r="F37" s="10" t="inlineStr">
        <is>
          <t>対応不要（方針どおり）</t>
        </is>
      </c>
      <c r="G37" s="5" t="inlineStr"/>
    </row>
    <row r="38" ht="28" customHeight="1">
      <c r="A38" s="7" t="n">
        <v>34</v>
      </c>
      <c r="B38" s="15" t="inlineStr">
        <is>
          <t>C</t>
        </is>
      </c>
      <c r="C38" s="5" t="inlineStr">
        <is>
          <t>数値・計算</t>
        </is>
      </c>
      <c r="D38" s="5" t="inlineStr">
        <is>
          <t>1-2課題①、1-3表⑥、その３（別紙２）、図（パウチ供給工程）</t>
        </is>
      </c>
      <c r="E38" s="5" t="inlineStr">
        <is>
          <t>（空欄＝修正不要）</t>
        </is>
      </c>
      <c r="F38" s="10" t="inlineStr">
        <is>
          <t>対応不要（方針どおり）</t>
        </is>
      </c>
      <c r="G38" s="5" t="inlineStr"/>
    </row>
    <row r="39" ht="28" customHeight="1">
      <c r="A39" s="7" t="n">
        <v>35</v>
      </c>
      <c r="B39" s="15" t="inlineStr">
        <is>
          <t>C</t>
        </is>
      </c>
      <c r="C39" s="5" t="inlineStr">
        <is>
          <t>誤字脱字</t>
        </is>
      </c>
      <c r="D39" s="5" t="inlineStr">
        <is>
          <t>1-2②課題②</t>
        </is>
      </c>
      <c r="E39" s="5" t="inlineStr">
        <is>
          <t>（空欄＝修正不要）</t>
        </is>
      </c>
      <c r="F39" s="10" t="inlineStr">
        <is>
          <t>対応不要（方針どおり）</t>
        </is>
      </c>
      <c r="G39" s="5" t="inlineStr">
        <is>
          <t>「背景は労働市場にあり、、」の読点の重複が残っている。誤字のため、方針にかかわらず直しておくことを推奨。</t>
        </is>
      </c>
    </row>
    <row r="40" ht="28" customHeight="1">
      <c r="A40" s="7" t="n">
        <v>36</v>
      </c>
      <c r="B40" s="15" t="inlineStr">
        <is>
          <t>C</t>
        </is>
      </c>
      <c r="C40" s="5" t="inlineStr">
        <is>
          <t>図・相互参照</t>
        </is>
      </c>
      <c r="D40" s="5" t="inlineStr">
        <is>
          <t>1-2課題①の図「パウチとスパウト（ストロー）、製袋機で行う工程」</t>
        </is>
      </c>
      <c r="E40" s="5" t="inlineStr">
        <is>
          <t>（空欄＝修正不要）</t>
        </is>
      </c>
      <c r="F40" s="10" t="inlineStr">
        <is>
          <t>対応不要（方針どおり）</t>
        </is>
      </c>
      <c r="G40" s="5" t="inlineStr"/>
    </row>
    <row r="41" ht="28" customHeight="1">
      <c r="A41" s="7" t="n">
        <v>37</v>
      </c>
      <c r="B41" s="15" t="inlineStr">
        <is>
          <t>C</t>
        </is>
      </c>
      <c r="C41" s="5" t="inlineStr">
        <is>
          <t>表現</t>
        </is>
      </c>
      <c r="D41" s="5" t="inlineStr">
        <is>
          <t>1-3①【投入作業のサイクル】の説明文</t>
        </is>
      </c>
      <c r="E41" s="5" t="inlineStr">
        <is>
          <t>（空欄＝修正不要）</t>
        </is>
      </c>
      <c r="F41" s="13" t="inlineStr">
        <is>
          <t>解消（他の修正で）</t>
        </is>
      </c>
      <c r="G41" s="5" t="inlineStr">
        <is>
          <t>No.12の修正で「マガジン脇の作業は約2.5〜3時間に1回・約3分の入替だけになる」に変わり解消。</t>
        </is>
      </c>
    </row>
    <row r="42" ht="28" customHeight="1">
      <c r="A42" s="7" t="n">
        <v>38</v>
      </c>
      <c r="B42" s="15" t="inlineStr">
        <is>
          <t>C</t>
        </is>
      </c>
      <c r="C42" s="5" t="inlineStr">
        <is>
          <t>前提の統一</t>
        </is>
      </c>
      <c r="D42" s="5" t="inlineStr">
        <is>
          <t>1-3表②③、その３（別紙２）（搬入・開梱・片付け）</t>
        </is>
      </c>
      <c r="E42" s="5" t="inlineStr">
        <is>
          <t>（空欄＝修正不要）</t>
        </is>
      </c>
      <c r="F42" s="10" t="inlineStr">
        <is>
          <t>対応不要（方針どおり）</t>
        </is>
      </c>
      <c r="G42" s="5" t="inlineStr"/>
    </row>
    <row r="43" ht="28" customHeight="1">
      <c r="A43" s="7" t="n">
        <v>39</v>
      </c>
      <c r="B43" s="15" t="inlineStr">
        <is>
          <t>C</t>
        </is>
      </c>
      <c r="C43" s="5" t="inlineStr">
        <is>
          <t>表現</t>
        </is>
      </c>
      <c r="D43" s="5" t="inlineStr">
        <is>
          <t>2章②表の注記</t>
        </is>
      </c>
      <c r="E43" s="5" t="inlineStr">
        <is>
          <t>（空欄＝修正不要）</t>
        </is>
      </c>
      <c r="F43" s="10" t="inlineStr">
        <is>
          <t>対応不要（方針どおり）</t>
        </is>
      </c>
      <c r="G43" s="5" t="inlineStr"/>
    </row>
    <row r="44" ht="28" customHeight="1">
      <c r="A44" s="7" t="n">
        <v>40</v>
      </c>
      <c r="B44" s="15" t="inlineStr">
        <is>
          <t>C</t>
        </is>
      </c>
      <c r="C44" s="5" t="inlineStr">
        <is>
          <t>数値の定義</t>
        </is>
      </c>
      <c r="D44" s="5" t="inlineStr">
        <is>
          <t>1-3〔解消すれば何が変わるか〕B3、2章①表、2-1③</t>
        </is>
      </c>
      <c r="E44" s="5" t="inlineStr">
        <is>
          <t>（空欄＝修正不要）</t>
        </is>
      </c>
      <c r="F44" s="10" t="inlineStr">
        <is>
          <t>対応不要（方針どおり）</t>
        </is>
      </c>
      <c r="G44" s="5" t="inlineStr"/>
    </row>
    <row r="45" ht="28" customHeight="1">
      <c r="A45" s="7" t="n">
        <v>41</v>
      </c>
      <c r="B45" s="15" t="inlineStr">
        <is>
          <t>C</t>
        </is>
      </c>
      <c r="C45" s="5" t="inlineStr">
        <is>
          <t>SWOT記号</t>
        </is>
      </c>
      <c r="D45" s="5" t="inlineStr">
        <is>
          <t>2-2①副次効果③</t>
        </is>
      </c>
      <c r="E45" s="5" t="inlineStr">
        <is>
          <t>（空欄＝修正不要）</t>
        </is>
      </c>
      <c r="F45" s="10" t="inlineStr">
        <is>
          <t>対応不要（方針どおり）</t>
        </is>
      </c>
      <c r="G45" s="5" t="inlineStr">
        <is>
          <t>（W1）のまま。</t>
        </is>
      </c>
    </row>
    <row r="46" ht="28" customHeight="1">
      <c r="A46" s="7" t="n">
        <v>42</v>
      </c>
      <c r="B46" s="15" t="inlineStr">
        <is>
          <t>C</t>
        </is>
      </c>
      <c r="C46" s="5" t="inlineStr">
        <is>
          <t>表記の統一</t>
        </is>
      </c>
      <c r="D46" s="5" t="inlineStr">
        <is>
          <t>2-2③(3)、4章【3】</t>
        </is>
      </c>
      <c r="E46" s="5" t="inlineStr">
        <is>
          <t>（空欄＝修正不要）</t>
        </is>
      </c>
      <c r="F46" s="10" t="inlineStr">
        <is>
          <t>対応不要（方針どおり）</t>
        </is>
      </c>
      <c r="G46" s="5" t="inlineStr"/>
    </row>
    <row r="47" ht="28" customHeight="1">
      <c r="A47" s="7" t="n">
        <v>43</v>
      </c>
      <c r="B47" s="15" t="inlineStr">
        <is>
          <t>C</t>
        </is>
      </c>
      <c r="C47" s="5" t="inlineStr">
        <is>
          <t>表記ゆれ</t>
        </is>
      </c>
      <c r="D47" s="5" t="inlineStr">
        <is>
          <t>3章①KPI表 e)</t>
        </is>
      </c>
      <c r="E47" s="5" t="inlineStr">
        <is>
          <t>（空欄＝修正不要）</t>
        </is>
      </c>
      <c r="F47" s="10" t="inlineStr">
        <is>
          <t>対応不要（方針どおり）</t>
        </is>
      </c>
      <c r="G47" s="5" t="inlineStr"/>
    </row>
    <row r="48" ht="28" customHeight="1">
      <c r="A48" s="7" t="n">
        <v>44</v>
      </c>
      <c r="B48" s="15" t="inlineStr">
        <is>
          <t>C</t>
        </is>
      </c>
      <c r="C48" s="5" t="inlineStr">
        <is>
          <t>整合（本文と図）</t>
        </is>
      </c>
      <c r="D48" s="5" t="inlineStr">
        <is>
          <t>1-3の図「本事業の対象範囲：Gライン全体の流れと人の配置」下部</t>
        </is>
      </c>
      <c r="E48" s="5" t="inlineStr">
        <is>
          <t>（空欄＝修正不要）</t>
        </is>
      </c>
      <c r="F48" s="10" t="inlineStr">
        <is>
          <t>対応不要（方針どおり）</t>
        </is>
      </c>
      <c r="G48" s="5" t="inlineStr"/>
    </row>
    <row r="49" ht="28" customHeight="1">
      <c r="A49" s="7" t="n">
        <v>45</v>
      </c>
      <c r="B49" s="15" t="inlineStr">
        <is>
          <t>C</t>
        </is>
      </c>
      <c r="C49" s="5" t="inlineStr">
        <is>
          <t>整合（本文とスケジュール）</t>
        </is>
      </c>
      <c r="D49" s="5" t="inlineStr">
        <is>
          <t>3章①〔3段階の再配置〕、スケジュール表「４．④段階3」</t>
        </is>
      </c>
      <c r="E49" s="5" t="inlineStr">
        <is>
          <t>（空欄＝修正不要）</t>
        </is>
      </c>
      <c r="F49" s="10" t="inlineStr">
        <is>
          <t>対応不要（方針どおり）</t>
        </is>
      </c>
      <c r="G49" s="5" t="inlineStr"/>
    </row>
    <row r="50" ht="28" customHeight="1">
      <c r="A50" s="7" t="n">
        <v>46</v>
      </c>
      <c r="B50" s="15" t="inlineStr">
        <is>
          <t>C</t>
        </is>
      </c>
      <c r="C50" s="5" t="inlineStr">
        <is>
          <t>数値（会計処理）</t>
        </is>
      </c>
      <c r="D50" s="5" t="inlineStr">
        <is>
          <t>4章②表「└うち本設備」基準年度「―」、【2】減価償却費</t>
        </is>
      </c>
      <c r="E50" s="5" t="inlineStr">
        <is>
          <t>（空欄＝修正不要）</t>
        </is>
      </c>
      <c r="F50" s="10" t="inlineStr">
        <is>
          <t>対応不要（方針どおり）</t>
        </is>
      </c>
      <c r="G50" s="5" t="inlineStr"/>
    </row>
    <row r="51" ht="28" customHeight="1">
      <c r="A51" s="7" t="n">
        <v>47</v>
      </c>
      <c r="B51" s="15" t="inlineStr">
        <is>
          <t>C</t>
        </is>
      </c>
      <c r="C51" s="5" t="inlineStr">
        <is>
          <t>誤字脱字</t>
        </is>
      </c>
      <c r="D51" s="5" t="inlineStr">
        <is>
          <t>4章【1】①顧客（断った案件）の末尾</t>
        </is>
      </c>
      <c r="E51" s="5" t="inlineStr">
        <is>
          <t>（空欄＝修正不要）</t>
        </is>
      </c>
      <c r="F51" s="13" t="inlineStr">
        <is>
          <t>解消（他の修正で）</t>
        </is>
      </c>
      <c r="G51" s="5" t="inlineStr">
        <is>
          <t>No.4の修正で該当の文が書き換わり解消。</t>
        </is>
      </c>
    </row>
    <row r="52" ht="28" customHeight="1">
      <c r="A52" s="7" t="n">
        <v>48</v>
      </c>
      <c r="B52" s="15" t="inlineStr">
        <is>
          <t>C</t>
        </is>
      </c>
      <c r="C52" s="5" t="inlineStr">
        <is>
          <t>整合（支払条件）</t>
        </is>
      </c>
      <c r="D52" s="5" t="inlineStr">
        <is>
          <t>5章③「２．設置・試運転・教育」</t>
        </is>
      </c>
      <c r="E52" s="5" t="inlineStr">
        <is>
          <t>（空欄＝修正不要）</t>
        </is>
      </c>
      <c r="F52" s="10" t="inlineStr">
        <is>
          <t>対応不要（方針どおり）</t>
        </is>
      </c>
      <c r="G52" s="5" t="inlineStr"/>
    </row>
    <row r="53" ht="28" customHeight="1">
      <c r="A53" s="7" t="n">
        <v>49</v>
      </c>
      <c r="B53" s="15" t="inlineStr">
        <is>
          <t>C</t>
        </is>
      </c>
      <c r="C53" s="5" t="inlineStr">
        <is>
          <t>表記ゆれ</t>
        </is>
      </c>
      <c r="D53" s="5" t="inlineStr">
        <is>
          <t>全体</t>
        </is>
      </c>
      <c r="E53" s="5" t="inlineStr">
        <is>
          <t>（空欄＝修正不要）</t>
        </is>
      </c>
      <c r="F53" s="10" t="inlineStr">
        <is>
          <t>対応不要（方針どおり）</t>
        </is>
      </c>
      <c r="G53" s="5" t="inlineStr"/>
    </row>
    <row r="54" ht="28" customHeight="1">
      <c r="A54" s="7" t="n">
        <v>50</v>
      </c>
      <c r="B54" s="15" t="inlineStr">
        <is>
          <t>C</t>
        </is>
      </c>
      <c r="C54" s="5" t="inlineStr">
        <is>
          <t>表記</t>
        </is>
      </c>
      <c r="D54" s="5" t="inlineStr">
        <is>
          <t>【算定根拠】①(1)、（別紙３）【算定根拠】</t>
        </is>
      </c>
      <c r="E54" s="5" t="inlineStr">
        <is>
          <t>（空欄＝修正不要）</t>
        </is>
      </c>
      <c r="F54" s="13" t="inlineStr">
        <is>
          <t>解消（他の修正で）</t>
        </is>
      </c>
      <c r="G54" s="5" t="inlineStr">
        <is>
          <t>No.4の修正で、その３①(1)は「生産能力の不足で断った案件」に変わり解消。</t>
        </is>
      </c>
    </row>
    <row r="55" ht="28" customHeight="1">
      <c r="A55" s="7" t="n">
        <v>51</v>
      </c>
      <c r="B55" s="15" t="inlineStr">
        <is>
          <t>C</t>
        </is>
      </c>
      <c r="C55" s="5" t="inlineStr">
        <is>
          <t>表記</t>
        </is>
      </c>
      <c r="D55" s="5" t="inlineStr">
        <is>
          <t>（別紙２）「空パウチの搬入」の説明</t>
        </is>
      </c>
      <c r="E55" s="5" t="inlineStr">
        <is>
          <t>（空欄＝修正不要）</t>
        </is>
      </c>
      <c r="F55" s="10" t="inlineStr">
        <is>
          <t>対応不要（方針どおり）</t>
        </is>
      </c>
      <c r="G55" s="5" t="inlineStr"/>
    </row>
    <row r="56" ht="28" customHeight="1">
      <c r="A56" s="7" t="n">
        <v>52</v>
      </c>
      <c r="B56" s="16" t="inlineStr">
        <is>
          <t>確認</t>
        </is>
      </c>
      <c r="C56" s="5" t="inlineStr">
        <is>
          <t>添付書類との一致</t>
        </is>
      </c>
      <c r="D56" s="5" t="inlineStr">
        <is>
          <t>（４）冒頭</t>
        </is>
      </c>
      <c r="E56" s="5" t="inlineStr">
        <is>
          <t>（空欄＝修正不要）</t>
        </is>
      </c>
      <c r="F56" s="10" t="inlineStr">
        <is>
          <t>対応不要（方針どおり）</t>
        </is>
      </c>
      <c r="G56" s="5" t="inlineStr"/>
    </row>
    <row r="57" ht="28" customHeight="1">
      <c r="A57" s="7" t="n">
        <v>53</v>
      </c>
      <c r="B57" s="16" t="inlineStr">
        <is>
          <t>確認</t>
        </is>
      </c>
      <c r="C57" s="5" t="inlineStr">
        <is>
          <t>記載可否・口頭審査の準備</t>
        </is>
      </c>
      <c r="D57" s="5" t="inlineStr">
        <is>
          <t>1．事業内容②、1-1 S2、4章【1】</t>
        </is>
      </c>
      <c r="E57" s="5" t="inlineStr">
        <is>
          <t>（空欄＝修正不要）</t>
        </is>
      </c>
      <c r="F57" s="10" t="inlineStr">
        <is>
          <t>対応不要（方針どおり）</t>
        </is>
      </c>
      <c r="G57" s="5" t="inlineStr"/>
    </row>
    <row r="58" ht="28" customHeight="1">
      <c r="A58" s="7" t="n">
        <v>54</v>
      </c>
      <c r="B58" s="16" t="inlineStr">
        <is>
          <t>確認</t>
        </is>
      </c>
      <c r="C58" s="5" t="inlineStr">
        <is>
          <t>前提数値</t>
        </is>
      </c>
      <c r="D58" s="5" t="inlineStr">
        <is>
          <t>2-1④注記「両者は年245稼働日の約半分ずつ」、その３（別紙３）「年間稼働日数245日」</t>
        </is>
      </c>
      <c r="E58" s="5" t="inlineStr">
        <is>
          <t>（空欄＝修正不要）</t>
        </is>
      </c>
      <c r="F58" s="10" t="inlineStr">
        <is>
          <t>対応不要（方針どおり）</t>
        </is>
      </c>
      <c r="G58" s="5" t="inlineStr"/>
    </row>
    <row r="59" ht="28" customHeight="1">
      <c r="A59" s="7" t="n">
        <v>55</v>
      </c>
      <c r="B59" s="16" t="inlineStr">
        <is>
          <t>確認</t>
        </is>
      </c>
      <c r="C59" s="5" t="inlineStr">
        <is>
          <t>記載の明確化</t>
        </is>
      </c>
      <c r="D59" s="5" t="inlineStr">
        <is>
          <t>6章①⑥サイバーセキュリティ</t>
        </is>
      </c>
      <c r="E59" s="5" t="inlineStr">
        <is>
          <t>（空欄＝修正不要）</t>
        </is>
      </c>
      <c r="F59" s="10" t="inlineStr">
        <is>
          <t>対応不要（方針どおり）</t>
        </is>
      </c>
      <c r="G59" s="5" t="inlineStr"/>
    </row>
    <row r="60" ht="28" customHeight="1">
      <c r="A60" s="7" t="n">
        <v>56</v>
      </c>
      <c r="B60" s="16" t="inlineStr">
        <is>
          <t>確認</t>
        </is>
      </c>
      <c r="C60" s="5" t="inlineStr">
        <is>
          <t>手続き</t>
        </is>
      </c>
      <c r="D60" s="5" t="inlineStr">
        <is>
          <t>5章②社外の実施体制</t>
        </is>
      </c>
      <c r="E60" s="5" t="inlineStr">
        <is>
          <t>（空欄＝修正不要）</t>
        </is>
      </c>
      <c r="F60" s="10" t="inlineStr">
        <is>
          <t>対応不要（方針どおり）</t>
        </is>
      </c>
      <c r="G60" s="5" t="inlineStr"/>
    </row>
    <row r="61" ht="28" customHeight="1">
      <c r="A61" s="7" t="n">
        <v>57</v>
      </c>
      <c r="B61" s="16" t="inlineStr">
        <is>
          <t>確認</t>
        </is>
      </c>
      <c r="C61" s="5" t="inlineStr">
        <is>
          <t>手続き</t>
        </is>
      </c>
      <c r="D61" s="5" t="inlineStr">
        <is>
          <t>2章④、5章③「１．」</t>
        </is>
      </c>
      <c r="E61" s="5" t="inlineStr">
        <is>
          <t>（空欄＝修正不要）</t>
        </is>
      </c>
      <c r="F61" s="10" t="inlineStr">
        <is>
          <t>対応不要（方針どおり）</t>
        </is>
      </c>
      <c r="G61" s="5" t="inlineStr"/>
    </row>
    <row r="62" ht="28" customHeight="1">
      <c r="A62" s="7" t="n">
        <v>58</v>
      </c>
      <c r="B62" s="16" t="inlineStr">
        <is>
          <t>確認</t>
        </is>
      </c>
      <c r="C62" s="5" t="inlineStr">
        <is>
          <t>要件・加点の手続き</t>
        </is>
      </c>
      <c r="D62" s="5" t="inlineStr">
        <is>
          <t>（計画書の外）</t>
        </is>
      </c>
      <c r="E62" s="5" t="inlineStr">
        <is>
          <t>（空欄＝修正不要）</t>
        </is>
      </c>
      <c r="F62" s="10" t="inlineStr">
        <is>
          <t>対応不要（方針どおり）</t>
        </is>
      </c>
      <c r="G62" s="5" t="inlineStr"/>
    </row>
    <row r="63" ht="28" customHeight="1">
      <c r="A63" s="7" t="n">
        <v>59</v>
      </c>
      <c r="B63" s="16" t="inlineStr">
        <is>
          <t>確認</t>
        </is>
      </c>
      <c r="C63" s="5" t="inlineStr">
        <is>
          <t>画像（権利）</t>
        </is>
      </c>
      <c r="D63" s="5" t="inlineStr">
        <is>
          <t>1-2課題①の図 写真④「スパウト単体」（出所：㈱フジシールWebサイト）</t>
        </is>
      </c>
      <c r="E63" s="5" t="inlineStr">
        <is>
          <t>（空欄＝修正不要）</t>
        </is>
      </c>
      <c r="F63" s="10" t="inlineStr">
        <is>
          <t>対応不要（方針どおり）</t>
        </is>
      </c>
      <c r="G63" s="5" t="inlineStr"/>
    </row>
    <row r="64" ht="40.5" customHeight="1">
      <c r="A64" s="7" t="n">
        <v>60</v>
      </c>
      <c r="B64" s="16" t="inlineStr">
        <is>
          <t>確認</t>
        </is>
      </c>
      <c r="C64" s="5" t="inlineStr">
        <is>
          <t>画像（体裁）</t>
        </is>
      </c>
      <c r="D64" s="5" t="inlineStr">
        <is>
          <t>図「シフト別の人の配置」最下段、図「製袋室のレイアウト」、図「投入作業のサイクル」、図「パウチとスパウト」</t>
        </is>
      </c>
      <c r="E64" s="5" t="inlineStr">
        <is>
          <t>（空欄＝修正不要）</t>
        </is>
      </c>
      <c r="F64" s="10" t="inlineStr">
        <is>
          <t>対応不要（方針どおり）</t>
        </is>
      </c>
      <c r="G64" s="5" t="inlineStr">
        <is>
          <t>前回修正した図3点（シフト別の配置・パウチ供給工程・投入作業のサイクル）は文字の欠け・重なりがないことを確認済み。</t>
        </is>
      </c>
    </row>
    <row r="65" ht="28" customHeight="1">
      <c r="A65" s="7" t="n">
        <v>61</v>
      </c>
      <c r="B65" s="16" t="inlineStr">
        <is>
          <t>確認</t>
        </is>
      </c>
      <c r="C65" s="5" t="inlineStr">
        <is>
          <t>画像（個人情報・数値）</t>
        </is>
      </c>
      <c r="D65" s="5" t="inlineStr">
        <is>
          <t>1．当社概要【当社の歴史と事業内容】の画像</t>
        </is>
      </c>
      <c r="E65" s="5" t="inlineStr">
        <is>
          <t>（空欄＝修正不要）</t>
        </is>
      </c>
      <c r="F65" s="10" t="inlineStr">
        <is>
          <t>対応不要（方針どおり）</t>
        </is>
      </c>
      <c r="G65" s="5" t="inlineStr"/>
    </row>
  </sheetData>
  <autoFilter ref="A4:G65"/>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I6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6" customWidth="1" min="3" max="3"/>
    <col width="16" customWidth="1" min="4" max="4"/>
    <col width="16" customWidth="1" min="5" max="5"/>
    <col width="9" customWidth="1" min="6" max="6"/>
    <col width="9" customWidth="1" min="7" max="7"/>
    <col width="9" customWidth="1" min="8" max="8"/>
    <col width="56" customWidth="1" min="9" max="9"/>
  </cols>
  <sheetData>
    <row r="1">
      <c r="A1" s="3" t="inlineStr">
        <is>
          <t>数値照合（修正版の記載値を、元の数値から数式で再計算して照合）</t>
        </is>
      </c>
    </row>
    <row r="2">
      <c r="A2" s="2" t="inlineStr">
        <is>
          <t>青字＝計画書・その３・図からの転記値、黒字＝再計算の数式。判定：差が許容差以内なら「一致」、超えれば「不一致」。</t>
        </is>
      </c>
    </row>
    <row r="4" ht="30" customHeight="1">
      <c r="A4" s="6" t="inlineStr">
        <is>
          <t>No</t>
        </is>
      </c>
      <c r="B4" s="6" t="inlineStr">
        <is>
          <t>区分</t>
        </is>
      </c>
      <c r="C4" s="6" t="inlineStr">
        <is>
          <t>項目</t>
        </is>
      </c>
      <c r="D4" s="6" t="inlineStr">
        <is>
          <t>計画書等の記載値</t>
        </is>
      </c>
      <c r="E4" s="6" t="inlineStr">
        <is>
          <t>再計算値（数式）</t>
        </is>
      </c>
      <c r="F4" s="6" t="inlineStr">
        <is>
          <t>単位</t>
        </is>
      </c>
      <c r="G4" s="6" t="inlineStr">
        <is>
          <t>許容差</t>
        </is>
      </c>
      <c r="H4" s="6" t="inlineStr">
        <is>
          <t>判定</t>
        </is>
      </c>
      <c r="I4" s="6" t="inlineStr">
        <is>
          <t>記載箇所・備考</t>
        </is>
      </c>
    </row>
    <row r="5" ht="15.5" customHeight="1">
      <c r="A5" s="7" t="n">
        <v>1</v>
      </c>
      <c r="B5" s="5" t="inlineStr">
        <is>
          <t>省力化</t>
        </is>
      </c>
      <c r="C5" s="5" t="inlineStr">
        <is>
          <t>削減される作業の時間（②〜⑦）</t>
        </is>
      </c>
      <c r="D5" s="17" t="n">
        <v>1030</v>
      </c>
      <c r="E5" s="18">
        <f>43+22+563+79+315+8</f>
        <v/>
      </c>
      <c r="F5" s="7" t="inlineStr">
        <is>
          <t>分／日</t>
        </is>
      </c>
      <c r="G5" s="18" t="n">
        <v>0</v>
      </c>
      <c r="H5" s="7">
        <f>IF(ABS(D5-E5)&lt;=G5+1E-9,"一致","不一致")</f>
        <v/>
      </c>
      <c r="I5" s="5" t="inlineStr">
        <is>
          <t>1-3表・別紙1</t>
        </is>
      </c>
    </row>
    <row r="6" ht="15.5" customHeight="1">
      <c r="A6" s="7" t="n">
        <v>2</v>
      </c>
      <c r="B6" s="5" t="inlineStr">
        <is>
          <t>省力化</t>
        </is>
      </c>
      <c r="C6" s="5" t="inlineStr">
        <is>
          <t>現状の拘束時間（①〜⑦）</t>
        </is>
      </c>
      <c r="D6" s="17" t="n">
        <v>1050</v>
      </c>
      <c r="E6" s="18">
        <f>20+43+22+563+79+315+8</f>
        <v/>
      </c>
      <c r="F6" s="7" t="inlineStr">
        <is>
          <t>分／日</t>
        </is>
      </c>
      <c r="G6" s="18" t="n">
        <v>0</v>
      </c>
      <c r="H6" s="7">
        <f>IF(ABS(D6-E6)&lt;=G6+1E-9,"一致","不一致")</f>
        <v/>
      </c>
      <c r="I6" s="5" t="inlineStr">
        <is>
          <t>1-3表</t>
        </is>
      </c>
    </row>
    <row r="7" ht="15.5" customHeight="1">
      <c r="A7" s="7" t="n">
        <v>3</v>
      </c>
      <c r="B7" s="5" t="inlineStr">
        <is>
          <t>省力化</t>
        </is>
      </c>
      <c r="C7" s="5" t="inlineStr">
        <is>
          <t>導入後に発生する作業の時間</t>
        </is>
      </c>
      <c r="D7" s="17" t="n">
        <v>231</v>
      </c>
      <c r="E7" s="18">
        <f>(250+168)/2+(18+12)/2+(0+14)/2</f>
        <v/>
      </c>
      <c r="F7" s="7" t="inlineStr">
        <is>
          <t>分／日</t>
        </is>
      </c>
      <c r="G7" s="18" t="n">
        <v>0</v>
      </c>
      <c r="H7" s="7">
        <f>IF(ABS(D7-E7)&lt;=G7+1E-9,"一致","不一致")</f>
        <v/>
      </c>
      <c r="I7" s="5" t="inlineStr">
        <is>
          <t>詰め・装填入替・型替えの1品種の日／2品種の日の平均</t>
        </is>
      </c>
    </row>
    <row r="8" ht="15.5" customHeight="1">
      <c r="A8" s="7" t="n">
        <v>4</v>
      </c>
      <c r="B8" s="5" t="inlineStr">
        <is>
          <t>省力化</t>
        </is>
      </c>
      <c r="C8" s="5" t="inlineStr">
        <is>
          <t>省力化指数</t>
        </is>
      </c>
      <c r="D8" s="19" t="n">
        <v>0.78</v>
      </c>
      <c r="E8" s="20">
        <f>ROUND((1030-231)/1030,2)</f>
        <v/>
      </c>
      <c r="F8" s="7" t="inlineStr"/>
      <c r="G8" s="20" t="n">
        <v>0</v>
      </c>
      <c r="H8" s="7">
        <f>IF(ABS(D8-E8)&lt;=G8+1E-9,"一致","不一致")</f>
        <v/>
      </c>
      <c r="I8" s="5" t="inlineStr">
        <is>
          <t>2-1④・その３【１】</t>
        </is>
      </c>
    </row>
    <row r="9" ht="15.5" customHeight="1">
      <c r="A9" s="7" t="n">
        <v>5</v>
      </c>
      <c r="B9" s="5" t="inlineStr">
        <is>
          <t>省力化</t>
        </is>
      </c>
      <c r="C9" s="5" t="inlineStr">
        <is>
          <t>創出時間</t>
        </is>
      </c>
      <c r="D9" s="17" t="n">
        <v>799</v>
      </c>
      <c r="E9" s="18">
        <f>1030-231</f>
        <v/>
      </c>
      <c r="F9" s="7" t="inlineStr">
        <is>
          <t>分／日</t>
        </is>
      </c>
      <c r="G9" s="18" t="n">
        <v>0</v>
      </c>
      <c r="H9" s="7">
        <f>IF(ABS(D9-E9)&lt;=G9+1E-9,"一致","不一致")</f>
        <v/>
      </c>
      <c r="I9" s="5" t="inlineStr"/>
    </row>
    <row r="10" ht="15.5" customHeight="1">
      <c r="A10" s="7" t="n">
        <v>6</v>
      </c>
      <c r="B10" s="5" t="inlineStr">
        <is>
          <t>省力化</t>
        </is>
      </c>
      <c r="C10" s="5" t="inlineStr">
        <is>
          <t>創出時間（年）</t>
        </is>
      </c>
      <c r="D10" s="17" t="n">
        <v>3262</v>
      </c>
      <c r="E10" s="18">
        <f>799/60*245</f>
        <v/>
      </c>
      <c r="F10" s="7" t="inlineStr">
        <is>
          <t>時間／年</t>
        </is>
      </c>
      <c r="G10" s="18" t="n">
        <v>1</v>
      </c>
      <c r="H10" s="7">
        <f>IF(ABS(D10-E10)&lt;=G10+1E-9,"一致","不一致")</f>
        <v/>
      </c>
      <c r="I10" s="5" t="inlineStr"/>
    </row>
    <row r="11" ht="15.5" customHeight="1">
      <c r="A11" s="7" t="n">
        <v>7</v>
      </c>
      <c r="B11" s="5" t="inlineStr">
        <is>
          <t>省力化</t>
        </is>
      </c>
      <c r="C11" s="5" t="inlineStr">
        <is>
          <t>1品種の日の創出時間</t>
        </is>
      </c>
      <c r="D11" s="17" t="n">
        <v>762</v>
      </c>
      <c r="E11" s="18">
        <f>1050-(20+250+18+0)</f>
        <v/>
      </c>
      <c r="F11" s="7" t="inlineStr">
        <is>
          <t>分／日</t>
        </is>
      </c>
      <c r="G11" s="18" t="n">
        <v>0</v>
      </c>
      <c r="H11" s="7">
        <f>IF(ABS(D11-E11)&lt;=G11+1E-9,"一致","不一致")</f>
        <v/>
      </c>
      <c r="I11" s="5" t="inlineStr">
        <is>
          <t>2-1③注記</t>
        </is>
      </c>
    </row>
    <row r="12" ht="15.5" customHeight="1">
      <c r="A12" s="7" t="n">
        <v>8</v>
      </c>
      <c r="B12" s="5" t="inlineStr">
        <is>
          <t>省力化</t>
        </is>
      </c>
      <c r="C12" s="5" t="inlineStr">
        <is>
          <t>2品種の日の創出時間</t>
        </is>
      </c>
      <c r="D12" s="17" t="n">
        <v>836</v>
      </c>
      <c r="E12" s="18">
        <f>1050-(20+168+12+14)</f>
        <v/>
      </c>
      <c r="F12" s="7" t="inlineStr">
        <is>
          <t>分／日</t>
        </is>
      </c>
      <c r="G12" s="18" t="n">
        <v>0</v>
      </c>
      <c r="H12" s="7">
        <f>IF(ABS(D12-E12)&lt;=G12+1E-9,"一致","不一致")</f>
        <v/>
      </c>
      <c r="I12" s="5" t="inlineStr">
        <is>
          <t>2-1③注記</t>
        </is>
      </c>
    </row>
    <row r="13" ht="15.5" customHeight="1">
      <c r="A13" s="7" t="n">
        <v>9</v>
      </c>
      <c r="B13" s="5" t="inlineStr">
        <is>
          <t>省力化</t>
        </is>
      </c>
      <c r="C13" s="5" t="inlineStr">
        <is>
          <t>専用パレット使用枚数（1品種の日）</t>
        </is>
      </c>
      <c r="D13" s="17" t="n">
        <v>125</v>
      </c>
      <c r="E13" s="18">
        <f>150000/1200</f>
        <v/>
      </c>
      <c r="F13" s="7" t="inlineStr">
        <is>
          <t>枚</t>
        </is>
      </c>
      <c r="G13" s="18" t="n">
        <v>0</v>
      </c>
      <c r="H13" s="7">
        <f>IF(ABS(D13-E13)&lt;=G13+1E-9,"一致","不一致")</f>
        <v/>
      </c>
      <c r="I13" s="5" t="inlineStr">
        <is>
          <t>2章②注記</t>
        </is>
      </c>
    </row>
    <row r="14" ht="15.5" customHeight="1">
      <c r="A14" s="7" t="n">
        <v>10</v>
      </c>
      <c r="B14" s="5" t="inlineStr">
        <is>
          <t>省力化</t>
        </is>
      </c>
      <c r="C14" s="5" t="inlineStr">
        <is>
          <t>専用パレット使用枚数（2品種の日）</t>
        </is>
      </c>
      <c r="D14" s="17" t="n">
        <v>84</v>
      </c>
      <c r="E14" s="18">
        <f>ROUNDUP(100000/1200,0)</f>
        <v/>
      </c>
      <c r="F14" s="7" t="inlineStr">
        <is>
          <t>枚</t>
        </is>
      </c>
      <c r="G14" s="18" t="n">
        <v>0</v>
      </c>
      <c r="H14" s="7">
        <f>IF(ABS(D14-E14)&lt;=G14+1E-9,"一致","不一致")</f>
        <v/>
      </c>
      <c r="I14" s="5" t="inlineStr">
        <is>
          <t>2章②注記</t>
        </is>
      </c>
    </row>
    <row r="15" ht="15.5" customHeight="1">
      <c r="A15" s="7" t="n">
        <v>11</v>
      </c>
      <c r="B15" s="5" t="inlineStr">
        <is>
          <t>省力化</t>
        </is>
      </c>
      <c r="C15" s="5" t="inlineStr">
        <is>
          <t>ストック量の持続時間</t>
        </is>
      </c>
      <c r="D15" s="19" t="n">
        <v>2.7</v>
      </c>
      <c r="E15" s="20">
        <f>24000/150/60</f>
        <v/>
      </c>
      <c r="F15" s="7" t="inlineStr">
        <is>
          <t>時間</t>
        </is>
      </c>
      <c r="G15" s="20" t="n">
        <v>0.05</v>
      </c>
      <c r="H15" s="7">
        <f>IF(ABS(D15-E15)&lt;=G15+1E-9,"一致","不一致")</f>
        <v/>
      </c>
      <c r="I15" s="5" t="inlineStr">
        <is>
          <t>（４）注記・2章①②・2-2①・図</t>
        </is>
      </c>
    </row>
    <row r="16" ht="15.5" customHeight="1">
      <c r="A16" s="7" t="n">
        <v>12</v>
      </c>
      <c r="B16" s="5" t="inlineStr">
        <is>
          <t>省力化</t>
        </is>
      </c>
      <c r="C16" s="5" t="inlineStr">
        <is>
          <t>入替回数（1品種の日）</t>
        </is>
      </c>
      <c r="D16" s="21" t="n">
        <v>6</v>
      </c>
      <c r="E16" s="22">
        <f>ROUND(150000/24000,0)</f>
        <v/>
      </c>
      <c r="F16" s="7" t="inlineStr">
        <is>
          <t>回／日</t>
        </is>
      </c>
      <c r="G16" s="22" t="n">
        <v>0</v>
      </c>
      <c r="H16" s="7">
        <f>IF(ABS(D16-E16)&lt;=G16+1E-9,"一致","不一致")</f>
        <v/>
      </c>
      <c r="I16" s="5" t="inlineStr"/>
    </row>
    <row r="17" ht="15.5" customHeight="1">
      <c r="A17" s="7" t="n">
        <v>13</v>
      </c>
      <c r="B17" s="5" t="inlineStr">
        <is>
          <t>省力化</t>
        </is>
      </c>
      <c r="C17" s="5" t="inlineStr">
        <is>
          <t>入替回数（2品種の日）</t>
        </is>
      </c>
      <c r="D17" s="21" t="n">
        <v>4</v>
      </c>
      <c r="E17" s="22">
        <f>ROUND(100000/24000,0)</f>
        <v/>
      </c>
      <c r="F17" s="7" t="inlineStr">
        <is>
          <t>回／日</t>
        </is>
      </c>
      <c r="G17" s="22" t="n">
        <v>0</v>
      </c>
      <c r="H17" s="7">
        <f>IF(ABS(D17-E17)&lt;=G17+1E-9,"一致","不一致")</f>
        <v/>
      </c>
      <c r="I17" s="5" t="inlineStr"/>
    </row>
    <row r="18" ht="15.5" customHeight="1">
      <c r="A18" s="7" t="n">
        <v>14</v>
      </c>
      <c r="B18" s="5" t="inlineStr">
        <is>
          <t>省力化</t>
        </is>
      </c>
      <c r="C18" s="5" t="inlineStr">
        <is>
          <t>遅番の使用パレット（1品種の日）</t>
        </is>
      </c>
      <c r="D18" s="23" t="n">
        <v>50</v>
      </c>
      <c r="E18" s="24">
        <f>150*420/1200</f>
        <v/>
      </c>
      <c r="F18" s="7" t="inlineStr">
        <is>
          <t>枚</t>
        </is>
      </c>
      <c r="G18" s="24" t="n">
        <v>5</v>
      </c>
      <c r="H18" s="7">
        <f>IF(ABS(D18-E18)&lt;=G18+1E-9,"一致","不一致")</f>
        <v/>
      </c>
      <c r="I18" s="5" t="inlineStr">
        <is>
          <t>2章②注記「約50枚」。新規No.7（形状別保有との関係）</t>
        </is>
      </c>
    </row>
    <row r="19" ht="15.5" customHeight="1">
      <c r="A19" s="7" t="n">
        <v>15</v>
      </c>
      <c r="B19" s="5" t="inlineStr">
        <is>
          <t>投資回収</t>
        </is>
      </c>
      <c r="C19" s="5" t="inlineStr">
        <is>
          <t>人件費単価</t>
        </is>
      </c>
      <c r="D19" s="17" t="n">
        <v>2773</v>
      </c>
      <c r="E19" s="18">
        <f>1021940577/(188*245*8)</f>
        <v/>
      </c>
      <c r="F19" s="7" t="inlineStr">
        <is>
          <t>円／時</t>
        </is>
      </c>
      <c r="G19" s="18" t="n">
        <v>1</v>
      </c>
      <c r="H19" s="7">
        <f>IF(ABS(D19-E19)&lt;=G19+1E-9,"一致","不一致")</f>
        <v/>
      </c>
      <c r="I19" s="5" t="inlineStr"/>
    </row>
    <row r="20" ht="15.5" customHeight="1">
      <c r="A20" s="7" t="n">
        <v>16</v>
      </c>
      <c r="B20" s="5" t="inlineStr">
        <is>
          <t>投資回収</t>
        </is>
      </c>
      <c r="C20" s="5" t="inlineStr">
        <is>
          <t>労働時間削減額</t>
        </is>
      </c>
      <c r="D20" s="17" t="n">
        <v>9047144</v>
      </c>
      <c r="E20" s="18">
        <f>799/60*245*2773</f>
        <v/>
      </c>
      <c r="F20" s="7" t="inlineStr">
        <is>
          <t>円／年</t>
        </is>
      </c>
      <c r="G20" s="18" t="n">
        <v>5</v>
      </c>
      <c r="H20" s="7">
        <f>IF(ABS(D20-E20)&lt;=G20+1E-9,"一致","不一致")</f>
        <v/>
      </c>
      <c r="I20" s="5" t="inlineStr"/>
    </row>
    <row r="21" ht="15.5" customHeight="1">
      <c r="A21" s="7" t="n">
        <v>17</v>
      </c>
      <c r="B21" s="5" t="inlineStr">
        <is>
          <t>投資回収</t>
        </is>
      </c>
      <c r="C21" s="5" t="inlineStr">
        <is>
          <t>投資回収期間（主値）</t>
        </is>
      </c>
      <c r="D21" s="19" t="n">
        <v>0.33</v>
      </c>
      <c r="E21" s="20">
        <f>ROUND(101200000/(9047144+297960717),2)</f>
        <v/>
      </c>
      <c r="F21" s="7" t="inlineStr">
        <is>
          <t>年</t>
        </is>
      </c>
      <c r="G21" s="20" t="n">
        <v>0</v>
      </c>
      <c r="H21" s="7">
        <f>IF(ABS(D21-E21)&lt;=G21+1E-9,"一致","不一致")</f>
        <v/>
      </c>
      <c r="I21" s="5" t="inlineStr">
        <is>
          <t>前回No.1：方針どおり維持</t>
        </is>
      </c>
    </row>
    <row r="22" ht="15.5" customHeight="1">
      <c r="A22" s="7" t="n">
        <v>18</v>
      </c>
      <c r="B22" s="5" t="inlineStr">
        <is>
          <t>投資回収</t>
        </is>
      </c>
      <c r="C22" s="5" t="inlineStr">
        <is>
          <t>投資回収期間（保守ケース）</t>
        </is>
      </c>
      <c r="D22" s="19" t="n">
        <v>0.93</v>
      </c>
      <c r="E22" s="20">
        <f>ROUND(101200000/(9047144+297960717/3),2)</f>
        <v/>
      </c>
      <c r="F22" s="7" t="inlineStr">
        <is>
          <t>年</t>
        </is>
      </c>
      <c r="G22" s="20" t="n">
        <v>0</v>
      </c>
      <c r="H22" s="7">
        <f>IF(ABS(D22-E22)&lt;=G22+1E-9,"一致","不一致")</f>
        <v/>
      </c>
      <c r="I22" s="5" t="inlineStr"/>
    </row>
    <row r="23" ht="15.5" customHeight="1">
      <c r="A23" s="7" t="n">
        <v>19</v>
      </c>
      <c r="B23" s="5" t="inlineStr">
        <is>
          <t>投資回収</t>
        </is>
      </c>
      <c r="C23" s="5" t="inlineStr">
        <is>
          <t>全社の付加価値率</t>
        </is>
      </c>
      <c r="D23" s="25" t="n">
        <v>0.1366</v>
      </c>
      <c r="E23" s="26">
        <f>ROUND(1525628095/11168904537,4)</f>
        <v/>
      </c>
      <c r="F23" s="7" t="inlineStr"/>
      <c r="G23" s="26" t="n">
        <v>0</v>
      </c>
      <c r="H23" s="7">
        <f>IF(ABS(D23-E23)&lt;=G23+1E-9,"一致","不一致")</f>
        <v/>
      </c>
      <c r="I23" s="5" t="inlineStr">
        <is>
          <t>2-2②・別紙3</t>
        </is>
      </c>
    </row>
    <row r="24" ht="15.5" customHeight="1">
      <c r="A24" s="7" t="n">
        <v>20</v>
      </c>
      <c r="B24" s="5" t="inlineStr">
        <is>
          <t>投資回収</t>
        </is>
      </c>
      <c r="C24" s="5" t="inlineStr">
        <is>
          <t>Gライン単独の付加価値額</t>
        </is>
      </c>
      <c r="D24" s="17" t="n">
        <v>27320000</v>
      </c>
      <c r="E24" s="18">
        <f>200000000*1525628095/11168904537</f>
        <v/>
      </c>
      <c r="F24" s="7" t="inlineStr">
        <is>
          <t>円／年</t>
        </is>
      </c>
      <c r="G24" s="18" t="n">
        <v>20000</v>
      </c>
      <c r="H24" s="7">
        <f>IF(ABS(D24-E24)&lt;=G24+1E-9,"一致","不一致")</f>
        <v/>
      </c>
      <c r="I24" s="5" t="inlineStr"/>
    </row>
    <row r="25" ht="15.5" customHeight="1">
      <c r="A25" s="7" t="n">
        <v>21</v>
      </c>
      <c r="B25" s="5" t="inlineStr">
        <is>
          <t>投資回収</t>
        </is>
      </c>
      <c r="C25" s="5" t="inlineStr">
        <is>
          <t>Gライン単独の回収期間</t>
        </is>
      </c>
      <c r="D25" s="19" t="n">
        <v>2.78</v>
      </c>
      <c r="E25" s="20">
        <f>ROUND(101200000/(9047144+27320000),2)</f>
        <v/>
      </c>
      <c r="F25" s="7" t="inlineStr">
        <is>
          <t>年</t>
        </is>
      </c>
      <c r="G25" s="20" t="n">
        <v>0</v>
      </c>
      <c r="H25" s="7">
        <f>IF(ABS(D25-E25)&lt;=G25+1E-9,"一致","不一致")</f>
        <v/>
      </c>
      <c r="I25" s="5" t="inlineStr"/>
    </row>
    <row r="26" ht="15.5" customHeight="1">
      <c r="A26" s="7" t="n">
        <v>22</v>
      </c>
      <c r="B26" s="5" t="inlineStr">
        <is>
          <t>投資回収</t>
        </is>
      </c>
      <c r="C26" s="5" t="inlineStr">
        <is>
          <t>投資額÷2026年3月期営業利益</t>
        </is>
      </c>
      <c r="D26" s="27" t="n">
        <v>0.45</v>
      </c>
      <c r="E26" s="28">
        <f>ROUND(92000000/204823050,2)</f>
        <v/>
      </c>
      <c r="F26" s="7" t="inlineStr"/>
      <c r="G26" s="28" t="n">
        <v>0</v>
      </c>
      <c r="H26" s="7">
        <f>IF(ABS(D26-E26)&lt;=G26+1E-9,"一致","不一致")</f>
        <v/>
      </c>
      <c r="I26" s="5" t="inlineStr">
        <is>
          <t>1-3③「約45%」</t>
        </is>
      </c>
    </row>
    <row r="27" ht="15.5" customHeight="1">
      <c r="A27" s="7" t="n">
        <v>23</v>
      </c>
      <c r="B27" s="5" t="inlineStr">
        <is>
          <t>売上</t>
        </is>
      </c>
      <c r="C27" s="5" t="inlineStr">
        <is>
          <t>供給待ち停止の解消による余地</t>
        </is>
      </c>
      <c r="D27" s="17" t="n">
        <v>1100000</v>
      </c>
      <c r="E27" s="18">
        <f>30*150*245</f>
        <v/>
      </c>
      <c r="F27" s="7" t="inlineStr">
        <is>
          <t>袋／年</t>
        </is>
      </c>
      <c r="G27" s="18" t="n">
        <v>10000</v>
      </c>
      <c r="H27" s="7">
        <f>IF(ABS(D27-E27)&lt;=G27+1E-9,"一致","不一致")</f>
        <v/>
      </c>
      <c r="I27" s="5" t="inlineStr">
        <is>
          <t>4章【1】「年約110万袋」</t>
        </is>
      </c>
    </row>
    <row r="28" ht="15.5" customHeight="1">
      <c r="A28" s="7" t="n">
        <v>24</v>
      </c>
      <c r="B28" s="5" t="inlineStr">
        <is>
          <t>売上</t>
        </is>
      </c>
      <c r="C28" s="5" t="inlineStr">
        <is>
          <t>土曜稼働（月2日）による余地</t>
        </is>
      </c>
      <c r="D28" s="17" t="n">
        <v>3600000</v>
      </c>
      <c r="E28" s="18">
        <f>2*12*150000</f>
        <v/>
      </c>
      <c r="F28" s="7" t="inlineStr">
        <is>
          <t>袋／年</t>
        </is>
      </c>
      <c r="G28" s="18" t="n">
        <v>0</v>
      </c>
      <c r="H28" s="7">
        <f>IF(ABS(D28-E28)&lt;=G28+1E-9,"一致","不一致")</f>
        <v/>
      </c>
      <c r="I28" s="5" t="inlineStr">
        <is>
          <t>4章【1】「年360万袋」</t>
        </is>
      </c>
    </row>
    <row r="29" ht="15.5" customHeight="1">
      <c r="A29" s="7" t="n">
        <v>25</v>
      </c>
      <c r="B29" s="5" t="inlineStr">
        <is>
          <t>売上</t>
        </is>
      </c>
      <c r="C29" s="5" t="inlineStr">
        <is>
          <t>余地の合計</t>
        </is>
      </c>
      <c r="D29" s="17" t="n">
        <v>4700000</v>
      </c>
      <c r="E29" s="18">
        <f>30*150*245+2*12*150000</f>
        <v/>
      </c>
      <c r="F29" s="7" t="inlineStr">
        <is>
          <t>袋／年</t>
        </is>
      </c>
      <c r="G29" s="18" t="n">
        <v>10000</v>
      </c>
      <c r="H29" s="7">
        <f>IF(ABS(D29-E29)&lt;=G29+1E-9,"一致","不一致")</f>
        <v/>
      </c>
      <c r="I29" s="5" t="inlineStr">
        <is>
          <t>2-2①・4章【1】「年約470万袋」</t>
        </is>
      </c>
    </row>
    <row r="30" ht="15.5" customHeight="1">
      <c r="A30" s="7" t="n">
        <v>26</v>
      </c>
      <c r="B30" s="5" t="inlineStr">
        <is>
          <t>売上</t>
        </is>
      </c>
      <c r="C30" s="5" t="inlineStr">
        <is>
          <t>断った案件の約半分（金額）</t>
        </is>
      </c>
      <c r="D30" s="17" t="n">
        <v>200000000</v>
      </c>
      <c r="E30" s="18">
        <f>8000000/2*50</f>
        <v/>
      </c>
      <c r="F30" s="7" t="inlineStr">
        <is>
          <t>円</t>
        </is>
      </c>
      <c r="G30" s="18" t="n">
        <v>0</v>
      </c>
      <c r="H30" s="7">
        <f>IF(ABS(D30-E30)&lt;=G30+1E-9,"一致","不一致")</f>
        <v/>
      </c>
      <c r="I30" s="5" t="inlineStr"/>
    </row>
    <row r="31" ht="15.5" customHeight="1">
      <c r="A31" s="7" t="n">
        <v>27</v>
      </c>
      <c r="B31" s="5" t="inlineStr">
        <is>
          <t>売上</t>
        </is>
      </c>
      <c r="C31" s="5" t="inlineStr">
        <is>
          <t>価格転嫁+1.5%（1年目）</t>
        </is>
      </c>
      <c r="D31" s="17" t="n">
        <v>170000000</v>
      </c>
      <c r="E31" s="18">
        <f>11506484677*0.015</f>
        <v/>
      </c>
      <c r="F31" s="7" t="inlineStr">
        <is>
          <t>円</t>
        </is>
      </c>
      <c r="G31" s="18" t="n">
        <v>5000000</v>
      </c>
      <c r="H31" s="7">
        <f>IF(ABS(D31-E31)&lt;=G31+1E-9,"一致","不一致")</f>
        <v/>
      </c>
      <c r="I31" s="5" t="inlineStr">
        <is>
          <t>4章【1】「約1.7億円」</t>
        </is>
      </c>
    </row>
    <row r="32" ht="15.5" customHeight="1">
      <c r="A32" s="7" t="n">
        <v>28</v>
      </c>
      <c r="B32" s="5" t="inlineStr">
        <is>
          <t>売上</t>
        </is>
      </c>
      <c r="C32" s="5" t="inlineStr">
        <is>
          <t>1年目の増収額</t>
        </is>
      </c>
      <c r="D32" s="17" t="n">
        <v>460000000</v>
      </c>
      <c r="E32" s="18">
        <f>11966744064-11506484677</f>
        <v/>
      </c>
      <c r="F32" s="7" t="inlineStr">
        <is>
          <t>円</t>
        </is>
      </c>
      <c r="G32" s="18" t="n">
        <v>1000000</v>
      </c>
      <c r="H32" s="7">
        <f>IF(ABS(D32-E32)&lt;=G32+1E-9,"一致","不一致")</f>
        <v/>
      </c>
      <c r="I32" s="5" t="inlineStr">
        <is>
          <t>内訳 2億＋1.7億＋0.9億＝4.6億</t>
        </is>
      </c>
    </row>
    <row r="33" ht="15.5" customHeight="1">
      <c r="A33" s="7" t="n">
        <v>29</v>
      </c>
      <c r="B33" s="5" t="inlineStr">
        <is>
          <t>売上</t>
        </is>
      </c>
      <c r="C33" s="5" t="inlineStr">
        <is>
          <t>1年目と2025年3月期の差</t>
        </is>
      </c>
      <c r="D33" s="17" t="n">
        <v>330000000</v>
      </c>
      <c r="E33" s="18">
        <f>11966744064-11640761439</f>
        <v/>
      </c>
      <c r="F33" s="7" t="inlineStr">
        <is>
          <t>円</t>
        </is>
      </c>
      <c r="G33" s="18" t="n">
        <v>5000000</v>
      </c>
      <c r="H33" s="7">
        <f>IF(ABS(D33-E33)&lt;=G33+1E-9,"一致","不一致")</f>
        <v/>
      </c>
      <c r="I33" s="5" t="inlineStr">
        <is>
          <t>4章【1】③「約3.3億円」</t>
        </is>
      </c>
    </row>
    <row r="34" ht="15.5" customHeight="1">
      <c r="A34" s="7" t="n">
        <v>30</v>
      </c>
      <c r="B34" s="5" t="inlineStr">
        <is>
          <t>売上</t>
        </is>
      </c>
      <c r="C34" s="5" t="inlineStr">
        <is>
          <t>売上高の伸び（1年目）</t>
        </is>
      </c>
      <c r="D34" s="25" t="n">
        <v>0.04</v>
      </c>
      <c r="E34" s="26">
        <f>ROUND(11966744064/11506484677-1,4)</f>
        <v/>
      </c>
      <c r="F34" s="7" t="inlineStr"/>
      <c r="G34" s="26" t="n">
        <v>0</v>
      </c>
      <c r="H34" s="7">
        <f>IF(ABS(D34-E34)&lt;=G34+1E-9,"一致","不一致")</f>
        <v/>
      </c>
      <c r="I34" s="5" t="inlineStr"/>
    </row>
    <row r="35" ht="15.5" customHeight="1">
      <c r="A35" s="7" t="n">
        <v>31</v>
      </c>
      <c r="B35" s="5" t="inlineStr">
        <is>
          <t>売上</t>
        </is>
      </c>
      <c r="C35" s="5" t="inlineStr">
        <is>
          <t>受託製造の構成比</t>
        </is>
      </c>
      <c r="D35" s="29" t="n">
        <v>0.835</v>
      </c>
      <c r="E35" s="30">
        <f>ROUND(9320/11168,3)</f>
        <v/>
      </c>
      <c r="F35" s="7" t="inlineStr"/>
      <c r="G35" s="30" t="n">
        <v>0</v>
      </c>
      <c r="H35" s="7">
        <f>IF(ABS(D35-E35)&lt;=G35+1E-9,"一致","不一致")</f>
        <v/>
      </c>
      <c r="I35" s="5" t="inlineStr">
        <is>
          <t>1．事業内容①</t>
        </is>
      </c>
    </row>
    <row r="36" ht="15.5" customHeight="1">
      <c r="A36" s="7" t="n">
        <v>32</v>
      </c>
      <c r="B36" s="5" t="inlineStr">
        <is>
          <t>売上</t>
        </is>
      </c>
      <c r="C36" s="5" t="inlineStr">
        <is>
          <t>バランス部門の構成比</t>
        </is>
      </c>
      <c r="D36" s="29" t="n">
        <v>0.131</v>
      </c>
      <c r="E36" s="30">
        <f>ROUND(1463/11168,3)</f>
        <v/>
      </c>
      <c r="F36" s="7" t="inlineStr"/>
      <c r="G36" s="30" t="n">
        <v>0</v>
      </c>
      <c r="H36" s="7">
        <f>IF(ABS(D36-E36)&lt;=G36+1E-9,"一致","不一致")</f>
        <v/>
      </c>
      <c r="I36" s="5" t="inlineStr"/>
    </row>
    <row r="37" ht="15.5" customHeight="1">
      <c r="A37" s="7" t="n">
        <v>33</v>
      </c>
      <c r="B37" s="5" t="inlineStr">
        <is>
          <t>売上</t>
        </is>
      </c>
      <c r="C37" s="5" t="inlineStr">
        <is>
          <t>自社商品の構成比</t>
        </is>
      </c>
      <c r="D37" s="29" t="n">
        <v>0.034</v>
      </c>
      <c r="E37" s="30">
        <f>ROUND(385/11168,3)</f>
        <v/>
      </c>
      <c r="F37" s="7" t="inlineStr"/>
      <c r="G37" s="30" t="n">
        <v>0</v>
      </c>
      <c r="H37" s="7">
        <f>IF(ABS(D37-E37)&lt;=G37+1E-9,"一致","不一致")</f>
        <v/>
      </c>
      <c r="I37" s="5" t="inlineStr"/>
    </row>
    <row r="38" ht="15.5" customHeight="1">
      <c r="A38" s="7" t="n">
        <v>34</v>
      </c>
      <c r="B38" s="5" t="inlineStr">
        <is>
          <t>原価</t>
        </is>
      </c>
      <c r="C38" s="5" t="inlineStr">
        <is>
          <t>原価率（基準年度）</t>
        </is>
      </c>
      <c r="D38" s="25" t="n">
        <v>0.905</v>
      </c>
      <c r="E38" s="26">
        <f>ROUND(10413368633/11506484677,4)</f>
        <v/>
      </c>
      <c r="F38" s="7" t="inlineStr"/>
      <c r="G38" s="26" t="n">
        <v>0</v>
      </c>
      <c r="H38" s="7">
        <f>IF(ABS(D38-E38)&lt;=G38+1E-9,"一致","不一致")</f>
        <v/>
      </c>
      <c r="I38" s="5" t="inlineStr"/>
    </row>
    <row r="39" ht="15.5" customHeight="1">
      <c r="A39" s="7" t="n">
        <v>35</v>
      </c>
      <c r="B39" s="5" t="inlineStr">
        <is>
          <t>原価</t>
        </is>
      </c>
      <c r="C39" s="5" t="inlineStr">
        <is>
          <t>原価率（3年目）</t>
        </is>
      </c>
      <c r="D39" s="25" t="n">
        <v>0.8975</v>
      </c>
      <c r="E39" s="26">
        <f>ROUND(11616549266/12943230380,4)</f>
        <v/>
      </c>
      <c r="F39" s="7" t="inlineStr"/>
      <c r="G39" s="26" t="n">
        <v>0</v>
      </c>
      <c r="H39" s="7">
        <f>IF(ABS(D39-E39)&lt;=G39+1E-9,"一致","不一致")</f>
        <v/>
      </c>
      <c r="I39" s="5" t="inlineStr"/>
    </row>
    <row r="40" ht="28" customHeight="1">
      <c r="A40" s="7" t="n">
        <v>36</v>
      </c>
      <c r="B40" s="5" t="inlineStr">
        <is>
          <t>原価</t>
        </is>
      </c>
      <c r="C40" s="5" t="inlineStr">
        <is>
          <t>1年目の原価率改善（労務費抑制＋価格転嫁）</t>
        </is>
      </c>
      <c r="D40" s="19" t="n">
        <v>0.25</v>
      </c>
      <c r="E40" s="20">
        <f>0.07+0.05</f>
        <v/>
      </c>
      <c r="F40" s="7" t="inlineStr">
        <is>
          <t>pt</t>
        </is>
      </c>
      <c r="G40" s="20" t="n">
        <v>0.001</v>
      </c>
      <c r="H40" s="7">
        <f>IF(ABS(D40-E40)&lt;=G40+1E-9,"一致","不一致")</f>
        <v/>
      </c>
      <c r="I40" s="5" t="inlineStr">
        <is>
          <t>4章サマリ1年目は「労務費の抑制と価格転嫁で0.25pt」→新規No.1</t>
        </is>
      </c>
    </row>
    <row r="41" ht="15.5" customHeight="1">
      <c r="A41" s="7" t="n">
        <v>37</v>
      </c>
      <c r="B41" s="5" t="inlineStr">
        <is>
          <t>付加価値</t>
        </is>
      </c>
      <c r="C41" s="5" t="inlineStr">
        <is>
          <t>付加価値額（基準年度）</t>
        </is>
      </c>
      <c r="D41" s="17" t="n">
        <v>1593327430</v>
      </c>
      <c r="E41" s="18">
        <f>214284593+1080178369+298864468</f>
        <v/>
      </c>
      <c r="F41" s="7" t="inlineStr">
        <is>
          <t>円</t>
        </is>
      </c>
      <c r="G41" s="18" t="n">
        <v>0</v>
      </c>
      <c r="H41" s="7">
        <f>IF(ABS(D41-E41)&lt;=G41+1E-9,"一致","不一致")</f>
        <v/>
      </c>
      <c r="I41" s="5" t="inlineStr"/>
    </row>
    <row r="42" ht="15.5" customHeight="1">
      <c r="A42" s="7" t="n">
        <v>38</v>
      </c>
      <c r="B42" s="5" t="inlineStr">
        <is>
          <t>付加価値</t>
        </is>
      </c>
      <c r="C42" s="5" t="inlineStr">
        <is>
          <t>付加価値額（1年目）</t>
        </is>
      </c>
      <c r="D42" s="17" t="n">
        <v>1692179517</v>
      </c>
      <c r="E42" s="18">
        <f>251024522+1133090527+308064468</f>
        <v/>
      </c>
      <c r="F42" s="7" t="inlineStr">
        <is>
          <t>円</t>
        </is>
      </c>
      <c r="G42" s="18" t="n">
        <v>0</v>
      </c>
      <c r="H42" s="7">
        <f>IF(ABS(D42-E42)&lt;=G42+1E-9,"一致","不一致")</f>
        <v/>
      </c>
      <c r="I42" s="5" t="inlineStr"/>
    </row>
    <row r="43" ht="15.5" customHeight="1">
      <c r="A43" s="7" t="n">
        <v>39</v>
      </c>
      <c r="B43" s="5" t="inlineStr">
        <is>
          <t>付加価値</t>
        </is>
      </c>
      <c r="C43" s="5" t="inlineStr">
        <is>
          <t>付加価値額（2年目）</t>
        </is>
      </c>
      <c r="D43" s="17" t="n">
        <v>1791169755</v>
      </c>
      <c r="E43" s="18">
        <f>288637218+1194468069+308064468</f>
        <v/>
      </c>
      <c r="F43" s="7" t="inlineStr">
        <is>
          <t>円</t>
        </is>
      </c>
      <c r="G43" s="18" t="n">
        <v>0</v>
      </c>
      <c r="H43" s="7">
        <f>IF(ABS(D43-E43)&lt;=G43+1E-9,"一致","不一致")</f>
        <v/>
      </c>
      <c r="I43" s="5" t="inlineStr"/>
    </row>
    <row r="44" ht="15.5" customHeight="1">
      <c r="A44" s="7" t="n">
        <v>40</v>
      </c>
      <c r="B44" s="5" t="inlineStr">
        <is>
          <t>付加価値</t>
        </is>
      </c>
      <c r="C44" s="5" t="inlineStr">
        <is>
          <t>付加価値額（3年目）</t>
        </is>
      </c>
      <c r="D44" s="17" t="n">
        <v>1891288147</v>
      </c>
      <c r="E44" s="18">
        <f>330603724+1252619955+308064468</f>
        <v/>
      </c>
      <c r="F44" s="7" t="inlineStr">
        <is>
          <t>円</t>
        </is>
      </c>
      <c r="G44" s="18" t="n">
        <v>0</v>
      </c>
      <c r="H44" s="7">
        <f>IF(ABS(D44-E44)&lt;=G44+1E-9,"一致","不一致")</f>
        <v/>
      </c>
      <c r="I44" s="5" t="inlineStr"/>
    </row>
    <row r="45" ht="15.5" customHeight="1">
      <c r="A45" s="7" t="n">
        <v>41</v>
      </c>
      <c r="B45" s="5" t="inlineStr">
        <is>
          <t>付加価値</t>
        </is>
      </c>
      <c r="C45" s="5" t="inlineStr">
        <is>
          <t>付加価値額の増加（3年目−基準年度）</t>
        </is>
      </c>
      <c r="D45" s="17" t="n">
        <v>297960717</v>
      </c>
      <c r="E45" s="18">
        <f>1891288147-1593327430</f>
        <v/>
      </c>
      <c r="F45" s="7" t="inlineStr">
        <is>
          <t>円</t>
        </is>
      </c>
      <c r="G45" s="18" t="n">
        <v>0</v>
      </c>
      <c r="H45" s="7">
        <f>IF(ABS(D45-E45)&lt;=G45+1E-9,"一致","不一致")</f>
        <v/>
      </c>
      <c r="I45" s="5" t="inlineStr"/>
    </row>
    <row r="46" ht="15.5" customHeight="1">
      <c r="A46" s="7" t="n">
        <v>42</v>
      </c>
      <c r="B46" s="5" t="inlineStr">
        <is>
          <t>付加価値</t>
        </is>
      </c>
      <c r="C46" s="5" t="inlineStr">
        <is>
          <t>付加価値額の年平均成長率（3年目）</t>
        </is>
      </c>
      <c r="D46" s="25" t="n">
        <v>0.0588</v>
      </c>
      <c r="E46" s="26">
        <f>ROUNDDOWN((1891288147/1593327430)^(1/3)-1,4)</f>
        <v/>
      </c>
      <c r="F46" s="7" t="inlineStr"/>
      <c r="G46" s="26" t="n">
        <v>0</v>
      </c>
      <c r="H46" s="7">
        <f>IF(ABS(D46-E46)&lt;=G46+1E-9,"一致","不一致")</f>
        <v/>
      </c>
      <c r="I46" s="5" t="inlineStr"/>
    </row>
    <row r="47" ht="15.5" customHeight="1">
      <c r="A47" s="7" t="n">
        <v>43</v>
      </c>
      <c r="B47" s="5" t="inlineStr">
        <is>
          <t>付加価値</t>
        </is>
      </c>
      <c r="C47" s="5" t="inlineStr">
        <is>
          <t>営業利益の増加（3年目−基準年度）</t>
        </is>
      </c>
      <c r="D47" s="17" t="n">
        <v>116319131</v>
      </c>
      <c r="E47" s="18">
        <f>330603724-214284593</f>
        <v/>
      </c>
      <c r="F47" s="7" t="inlineStr">
        <is>
          <t>円</t>
        </is>
      </c>
      <c r="G47" s="18" t="n">
        <v>0</v>
      </c>
      <c r="H47" s="7">
        <f>IF(ABS(D47-E47)&lt;=G47+1E-9,"一致","不一致")</f>
        <v/>
      </c>
      <c r="I47" s="5" t="inlineStr"/>
    </row>
    <row r="48" ht="15.5" customHeight="1">
      <c r="A48" s="7" t="n">
        <v>44</v>
      </c>
      <c r="B48" s="5" t="inlineStr">
        <is>
          <t>要件</t>
        </is>
      </c>
      <c r="C48" s="5" t="inlineStr">
        <is>
          <t>労働生産性（基準年度）</t>
        </is>
      </c>
      <c r="D48" s="17" t="n">
        <v>8475145</v>
      </c>
      <c r="E48" s="18">
        <f>1593327430/188</f>
        <v/>
      </c>
      <c r="F48" s="7" t="inlineStr">
        <is>
          <t>円</t>
        </is>
      </c>
      <c r="G48" s="18" t="n">
        <v>1</v>
      </c>
      <c r="H48" s="7">
        <f>IF(ABS(D48-E48)&lt;=G48+1E-9,"一致","不一致")</f>
        <v/>
      </c>
      <c r="I48" s="5" t="inlineStr"/>
    </row>
    <row r="49" ht="15.5" customHeight="1">
      <c r="A49" s="7" t="n">
        <v>45</v>
      </c>
      <c r="B49" s="5" t="inlineStr">
        <is>
          <t>要件</t>
        </is>
      </c>
      <c r="C49" s="5" t="inlineStr">
        <is>
          <t>労働生産性（3年目）</t>
        </is>
      </c>
      <c r="D49" s="17" t="n">
        <v>9551960</v>
      </c>
      <c r="E49" s="18">
        <f>1891288147/198</f>
        <v/>
      </c>
      <c r="F49" s="7" t="inlineStr">
        <is>
          <t>円</t>
        </is>
      </c>
      <c r="G49" s="18" t="n">
        <v>1</v>
      </c>
      <c r="H49" s="7">
        <f>IF(ABS(D49-E49)&lt;=G49+1E-9,"一致","不一致")</f>
        <v/>
      </c>
      <c r="I49" s="5" t="inlineStr"/>
    </row>
    <row r="50" ht="15.5" customHeight="1">
      <c r="A50" s="7" t="n">
        <v>46</v>
      </c>
      <c r="B50" s="5" t="inlineStr">
        <is>
          <t>要件</t>
        </is>
      </c>
      <c r="C50" s="5" t="inlineStr">
        <is>
          <t>労働生産性の年平均成長率（1年目）</t>
        </is>
      </c>
      <c r="D50" s="25" t="n">
        <v>0.0453</v>
      </c>
      <c r="E50" s="26">
        <f>ROUNDDOWN((1692179517/191)/(1593327430/188)-1,4)</f>
        <v/>
      </c>
      <c r="F50" s="7" t="inlineStr"/>
      <c r="G50" s="26" t="n">
        <v>0</v>
      </c>
      <c r="H50" s="7">
        <f>IF(ABS(D50-E50)&lt;=G50+1E-9,"一致","不一致")</f>
        <v/>
      </c>
      <c r="I50" s="5" t="inlineStr">
        <is>
          <t>様式（別紙４）と同じく小数第3位未満を切り捨て</t>
        </is>
      </c>
    </row>
    <row r="51" ht="15.5" customHeight="1">
      <c r="A51" s="7" t="n">
        <v>47</v>
      </c>
      <c r="B51" s="5" t="inlineStr">
        <is>
          <t>要件</t>
        </is>
      </c>
      <c r="C51" s="5" t="inlineStr">
        <is>
          <t>労働生産性の年平均成長率（2年目）</t>
        </is>
      </c>
      <c r="D51" s="25" t="n">
        <v>0.041</v>
      </c>
      <c r="E51" s="26">
        <f>ROUNDDOWN(((1791169755/195)/(1593327430/188))^(1/2)-1,4)</f>
        <v/>
      </c>
      <c r="F51" s="7" t="inlineStr"/>
      <c r="G51" s="26" t="n">
        <v>0</v>
      </c>
      <c r="H51" s="7">
        <f>IF(ABS(D51-E51)&lt;=G51+1E-9,"一致","不一致")</f>
        <v/>
      </c>
      <c r="I51" s="5" t="inlineStr">
        <is>
          <t>同上</t>
        </is>
      </c>
    </row>
    <row r="52" ht="15.5" customHeight="1">
      <c r="A52" s="7" t="n">
        <v>48</v>
      </c>
      <c r="B52" s="5" t="inlineStr">
        <is>
          <t>要件</t>
        </is>
      </c>
      <c r="C52" s="5" t="inlineStr">
        <is>
          <t>労働生産性の年平均成長率（3年目）</t>
        </is>
      </c>
      <c r="D52" s="25" t="n">
        <v>0.0406</v>
      </c>
      <c r="E52" s="26">
        <f>ROUNDDOWN(((1891288147/198)/(1593327430/188))^(1/3)-1,4)</f>
        <v/>
      </c>
      <c r="F52" s="7" t="inlineStr"/>
      <c r="G52" s="26" t="n">
        <v>0</v>
      </c>
      <c r="H52" s="7">
        <f>IF(ABS(D52-E52)&lt;=G52+1E-9,"一致","不一致")</f>
        <v/>
      </c>
      <c r="I52" s="5" t="inlineStr">
        <is>
          <t>同上</t>
        </is>
      </c>
    </row>
    <row r="53" ht="28" customHeight="1">
      <c r="A53" s="7" t="n">
        <v>49</v>
      </c>
      <c r="B53" s="5" t="inlineStr">
        <is>
          <t>要件</t>
        </is>
      </c>
      <c r="C53" s="5" t="inlineStr">
        <is>
          <t>1人当たり給与支給総額（進行期）の伸び</t>
        </is>
      </c>
      <c r="D53" s="25" t="n">
        <v>0.0302</v>
      </c>
      <c r="E53" s="26">
        <f>ROUNDDOWN(4449766/4319298-1,4)</f>
        <v/>
      </c>
      <c r="F53" s="7" t="inlineStr"/>
      <c r="G53" s="26" t="n">
        <v>0</v>
      </c>
      <c r="H53" s="7">
        <f>IF(ABS(D53-E53)&lt;=G53+1E-9,"一致","不一致")</f>
        <v/>
      </c>
      <c r="I53" s="5" t="inlineStr"/>
    </row>
    <row r="54" ht="28" customHeight="1">
      <c r="A54" s="7" t="n">
        <v>50</v>
      </c>
      <c r="B54" s="5" t="inlineStr">
        <is>
          <t>要件</t>
        </is>
      </c>
      <c r="C54" s="5" t="inlineStr">
        <is>
          <t>1人当たり給与支給総額の年平均成長率</t>
        </is>
      </c>
      <c r="D54" s="25" t="n">
        <v>0.0352</v>
      </c>
      <c r="E54" s="26">
        <f>ROUNDDOWN((5085606/4584175)^(1/3)-1,4)</f>
        <v/>
      </c>
      <c r="F54" s="7" t="inlineStr"/>
      <c r="G54" s="26" t="n">
        <v>0</v>
      </c>
      <c r="H54" s="7">
        <f>IF(ABS(D54-E54)&lt;=G54+1E-9,"一致","不一致")</f>
        <v/>
      </c>
      <c r="I54" s="5" t="inlineStr"/>
    </row>
    <row r="55" ht="28" customHeight="1">
      <c r="A55" s="7" t="n">
        <v>51</v>
      </c>
      <c r="B55" s="5" t="inlineStr">
        <is>
          <t>要件</t>
        </is>
      </c>
      <c r="C55" s="5" t="inlineStr">
        <is>
          <t>給与支給総額の増加（3年目−基準年度）</t>
        </is>
      </c>
      <c r="D55" s="17" t="n">
        <v>141615071</v>
      </c>
      <c r="E55" s="18">
        <f>971350746-829735675</f>
        <v/>
      </c>
      <c r="F55" s="7" t="inlineStr">
        <is>
          <t>円</t>
        </is>
      </c>
      <c r="G55" s="18" t="n">
        <v>0</v>
      </c>
      <c r="H55" s="7">
        <f>IF(ABS(D55-E55)&lt;=G55+1E-9,"一致","不一致")</f>
        <v/>
      </c>
      <c r="I55" s="5" t="inlineStr"/>
    </row>
    <row r="56" ht="15.5" customHeight="1">
      <c r="A56" s="7" t="n">
        <v>52</v>
      </c>
      <c r="B56" s="5" t="inlineStr">
        <is>
          <t>要件</t>
        </is>
      </c>
      <c r="C56" s="5" t="inlineStr">
        <is>
          <t>給与支給総額の伸び（進行期）</t>
        </is>
      </c>
      <c r="D56" s="29" t="n">
        <v>0.098</v>
      </c>
      <c r="E56" s="30">
        <f>ROUND(787608582/717003483-1,3)</f>
        <v/>
      </c>
      <c r="F56" s="7" t="inlineStr"/>
      <c r="G56" s="30" t="n">
        <v>0</v>
      </c>
      <c r="H56" s="7">
        <f>IF(ABS(D56-E56)&lt;=G56+1E-9,"一致","不一致")</f>
        <v/>
      </c>
      <c r="I56" s="5" t="inlineStr">
        <is>
          <t>4章【3】「+9.8%」</t>
        </is>
      </c>
    </row>
    <row r="57" ht="15.5" customHeight="1">
      <c r="A57" s="7" t="n">
        <v>53</v>
      </c>
      <c r="B57" s="5" t="inlineStr">
        <is>
          <t>要件</t>
        </is>
      </c>
      <c r="C57" s="5" t="inlineStr">
        <is>
          <t>人件費の伸び（進行期）</t>
        </is>
      </c>
      <c r="D57" s="29" t="n">
        <v>0.007</v>
      </c>
      <c r="E57" s="30">
        <f>ROUND(1028861760/1021940577-1,3)</f>
        <v/>
      </c>
      <c r="F57" s="7" t="inlineStr"/>
      <c r="G57" s="30" t="n">
        <v>0</v>
      </c>
      <c r="H57" s="7">
        <f>IF(ABS(D57-E57)&lt;=G57+1E-9,"一致","不一致")</f>
        <v/>
      </c>
      <c r="I57" s="5" t="inlineStr">
        <is>
          <t>4章【3】「+0.7%」</t>
        </is>
      </c>
    </row>
    <row r="58" ht="15.5" customHeight="1">
      <c r="A58" s="7" t="n">
        <v>54</v>
      </c>
      <c r="B58" s="5" t="inlineStr">
        <is>
          <t>要件</t>
        </is>
      </c>
      <c r="C58" s="5" t="inlineStr">
        <is>
          <t>労働分配率（実績）</t>
        </is>
      </c>
      <c r="D58" s="29" t="n">
        <v>0.67</v>
      </c>
      <c r="E58" s="30">
        <f>ROUND(1021940577/1525628095,3)</f>
        <v/>
      </c>
      <c r="F58" s="7" t="inlineStr"/>
      <c r="G58" s="30" t="n">
        <v>0</v>
      </c>
      <c r="H58" s="7">
        <f>IF(ABS(D58-E58)&lt;=G58+1E-9,"一致","不一致")</f>
        <v/>
      </c>
      <c r="I58" s="5" t="inlineStr"/>
    </row>
    <row r="59" ht="15.5" customHeight="1">
      <c r="A59" s="7" t="n">
        <v>55</v>
      </c>
      <c r="B59" s="5" t="inlineStr">
        <is>
          <t>要件</t>
        </is>
      </c>
      <c r="C59" s="5" t="inlineStr">
        <is>
          <t>労働分配率（基準年度）</t>
        </is>
      </c>
      <c r="D59" s="29" t="n">
        <v>0.678</v>
      </c>
      <c r="E59" s="30">
        <f>ROUND(1080178369/1593327430,3)</f>
        <v/>
      </c>
      <c r="F59" s="7" t="inlineStr"/>
      <c r="G59" s="30" t="n">
        <v>0</v>
      </c>
      <c r="H59" s="7">
        <f>IF(ABS(D59-E59)&lt;=G59+1E-9,"一致","不一致")</f>
        <v/>
      </c>
      <c r="I59" s="5" t="inlineStr"/>
    </row>
    <row r="60" ht="15.5" customHeight="1">
      <c r="A60" s="7" t="n">
        <v>56</v>
      </c>
      <c r="B60" s="5" t="inlineStr">
        <is>
          <t>要件</t>
        </is>
      </c>
      <c r="C60" s="5" t="inlineStr">
        <is>
          <t>労働分配率（3年目）</t>
        </is>
      </c>
      <c r="D60" s="29" t="n">
        <v>0.662</v>
      </c>
      <c r="E60" s="30">
        <f>ROUND(1252619955/1891288147,3)</f>
        <v/>
      </c>
      <c r="F60" s="7" t="inlineStr"/>
      <c r="G60" s="30" t="n">
        <v>0</v>
      </c>
      <c r="H60" s="7">
        <f>IF(ABS(D60-E60)&lt;=G60+1E-9,"一致","不一致")</f>
        <v/>
      </c>
      <c r="I60" s="5" t="inlineStr"/>
    </row>
    <row r="61" ht="15.5" customHeight="1">
      <c r="A61" s="7" t="n">
        <v>57</v>
      </c>
      <c r="B61" s="5" t="inlineStr">
        <is>
          <t>要件</t>
        </is>
      </c>
      <c r="C61" s="5" t="inlineStr">
        <is>
          <t>事業場内最低賃金の目標</t>
        </is>
      </c>
      <c r="D61" s="17" t="n">
        <v>1149</v>
      </c>
      <c r="E61" s="18">
        <f>1119+30</f>
        <v/>
      </c>
      <c r="F61" s="7" t="inlineStr">
        <is>
          <t>円</t>
        </is>
      </c>
      <c r="G61" s="18" t="n">
        <v>0</v>
      </c>
      <c r="H61" s="7">
        <f>IF(ABS(D61-E61)&lt;=G61+1E-9,"一致","不一致")</f>
        <v/>
      </c>
      <c r="I61" s="5" t="inlineStr">
        <is>
          <t>3-1③「1,150円以上（1,149円以上）」</t>
        </is>
      </c>
    </row>
    <row r="62" ht="15.5" customHeight="1">
      <c r="A62" s="7" t="n">
        <v>58</v>
      </c>
      <c r="B62" s="5" t="inlineStr">
        <is>
          <t>要件</t>
        </is>
      </c>
      <c r="C62" s="5" t="inlineStr">
        <is>
          <t>県最低賃金の上昇率（5年）</t>
        </is>
      </c>
      <c r="D62" s="29" t="n">
        <v>0.276</v>
      </c>
      <c r="E62" s="30">
        <f>ROUND(1119/877-1,3)</f>
        <v/>
      </c>
      <c r="F62" s="7" t="inlineStr"/>
      <c r="G62" s="30" t="n">
        <v>0</v>
      </c>
      <c r="H62" s="7">
        <f>IF(ABS(D62-E62)&lt;=G62+1E-9,"一致","不一致")</f>
        <v/>
      </c>
      <c r="I62" s="5" t="inlineStr"/>
    </row>
    <row r="63" ht="15.5" customHeight="1">
      <c r="A63" s="7" t="n">
        <v>59</v>
      </c>
      <c r="B63" s="5" t="inlineStr">
        <is>
          <t>資金</t>
        </is>
      </c>
      <c r="C63" s="5" t="inlineStr">
        <is>
          <t>投資総額（税込）</t>
        </is>
      </c>
      <c r="D63" s="17" t="n">
        <v>101200000</v>
      </c>
      <c r="E63" s="18">
        <f>92000000*1.1</f>
        <v/>
      </c>
      <c r="F63" s="7" t="inlineStr">
        <is>
          <t>円</t>
        </is>
      </c>
      <c r="G63" s="18" t="n">
        <v>0</v>
      </c>
      <c r="H63" s="7">
        <f>IF(ABS(D63-E63)&lt;=G63+1E-9,"一致","不一致")</f>
        <v/>
      </c>
      <c r="I63" s="5" t="inlineStr"/>
    </row>
    <row r="64" ht="15.5" customHeight="1">
      <c r="A64" s="7" t="n">
        <v>60</v>
      </c>
      <c r="B64" s="5" t="inlineStr">
        <is>
          <t>資金</t>
        </is>
      </c>
      <c r="C64" s="5" t="inlineStr">
        <is>
          <t>自己資金（事業全体）</t>
        </is>
      </c>
      <c r="D64" s="17" t="n">
        <v>55200000</v>
      </c>
      <c r="E64" s="18">
        <f>101200000-46000000</f>
        <v/>
      </c>
      <c r="F64" s="7" t="inlineStr">
        <is>
          <t>円</t>
        </is>
      </c>
      <c r="G64" s="18" t="n">
        <v>0</v>
      </c>
      <c r="H64" s="7">
        <f>IF(ABS(D64-E64)&lt;=G64+1E-9,"一致","不一致")</f>
        <v/>
      </c>
      <c r="I64" s="5" t="inlineStr">
        <is>
          <t>4章①表</t>
        </is>
      </c>
    </row>
    <row r="65" ht="15.5" customHeight="1">
      <c r="A65" s="7" t="n">
        <v>61</v>
      </c>
      <c r="B65" s="5" t="inlineStr">
        <is>
          <t>資金</t>
        </is>
      </c>
      <c r="C65" s="5" t="inlineStr">
        <is>
          <t>（４）表の小計</t>
        </is>
      </c>
      <c r="D65" s="17" t="n">
        <v>96790000</v>
      </c>
      <c r="E65" s="18">
        <f>55250000+31500000+2040000+300000+3600000+4100000</f>
        <v/>
      </c>
      <c r="F65" s="7" t="inlineStr">
        <is>
          <t>円</t>
        </is>
      </c>
      <c r="G65" s="18" t="n">
        <v>0</v>
      </c>
      <c r="H65" s="7">
        <f>IF(ABS(D65-E65)&lt;=G65+1E-9,"一致","不一致")</f>
        <v/>
      </c>
      <c r="I65" s="5" t="inlineStr"/>
    </row>
    <row r="66" ht="15.5" customHeight="1">
      <c r="A66" s="7" t="n">
        <v>62</v>
      </c>
      <c r="B66" s="5" t="inlineStr">
        <is>
          <t>資金</t>
        </is>
      </c>
      <c r="C66" s="5" t="inlineStr">
        <is>
          <t>値引後の合計</t>
        </is>
      </c>
      <c r="D66" s="17" t="n">
        <v>92000000</v>
      </c>
      <c r="E66" s="18">
        <f>96790000-4790000</f>
        <v/>
      </c>
      <c r="F66" s="7" t="inlineStr">
        <is>
          <t>円</t>
        </is>
      </c>
      <c r="G66" s="18" t="n">
        <v>0</v>
      </c>
      <c r="H66" s="7">
        <f>IF(ABS(D66-E66)&lt;=G66+1E-9,"一致","不一致")</f>
        <v/>
      </c>
      <c r="I66" s="5" t="inlineStr"/>
    </row>
  </sheetData>
  <conditionalFormatting sqref="H5:H66">
    <cfRule type="cellIs" priority="1" operator="equal" dxfId="0">
      <formula>"不一致"</formula>
    </cfRule>
    <cfRule type="cellIs" priority="2" operator="equal" dxfId="1">
      <formula>"一致"</formula>
    </cfRule>
  </conditionalFormatting>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2026-10-01T11:24:47Z</dcterms:created>
  <dcterms:modified xmlns:dcterms="http://purl.org/dc/terms/" xmlns:xsi="http://www.w3.org/2001/XMLSchema-instance" xsi:type="dcterms:W3CDTF">2026-10-01T11:24:47Z</dcterms:modified>
</cp:coreProperties>
</file>